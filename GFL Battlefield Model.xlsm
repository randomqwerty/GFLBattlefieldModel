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danny\Downloads\Battlefield Model\"/>
    </mc:Choice>
  </mc:AlternateContent>
  <xr:revisionPtr revIDLastSave="0" documentId="13_ncr:1_{C27A9174-F9F6-483F-929C-46CEEFD41463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hare" sheetId="2" r:id="rId2"/>
    <sheet name="Sheet1" sheetId="3" state="hidden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" i="1" l="1"/>
  <c r="C78" i="2"/>
  <c r="D78" i="2"/>
  <c r="E78" i="2"/>
  <c r="F78" i="2"/>
  <c r="C79" i="2"/>
  <c r="D79" i="2"/>
  <c r="E79" i="2"/>
  <c r="F79" i="2"/>
  <c r="C80" i="2"/>
  <c r="D80" i="2"/>
  <c r="E80" i="2"/>
  <c r="F80" i="2"/>
  <c r="C81" i="2"/>
  <c r="D81" i="2"/>
  <c r="E81" i="2"/>
  <c r="F81" i="2"/>
  <c r="C82" i="2"/>
  <c r="D82" i="2"/>
  <c r="E82" i="2"/>
  <c r="F82" i="2"/>
  <c r="C83" i="2"/>
  <c r="D83" i="2"/>
  <c r="E83" i="2"/>
  <c r="F83" i="2"/>
  <c r="C84" i="2"/>
  <c r="D84" i="2"/>
  <c r="E84" i="2"/>
  <c r="F84" i="2"/>
  <c r="C85" i="2"/>
  <c r="D85" i="2"/>
  <c r="E85" i="2"/>
  <c r="F85" i="2"/>
  <c r="C86" i="2"/>
  <c r="D86" i="2"/>
  <c r="E86" i="2"/>
  <c r="F86" i="2"/>
  <c r="C87" i="2"/>
  <c r="D87" i="2"/>
  <c r="E87" i="2"/>
  <c r="F87" i="2"/>
  <c r="C88" i="2"/>
  <c r="D88" i="2"/>
  <c r="E88" i="2"/>
  <c r="F88" i="2"/>
  <c r="C89" i="2"/>
  <c r="D89" i="2"/>
  <c r="E89" i="2"/>
  <c r="F89" i="2"/>
  <c r="C90" i="2"/>
  <c r="D90" i="2"/>
  <c r="E90" i="2"/>
  <c r="F90" i="2"/>
  <c r="C91" i="2"/>
  <c r="D91" i="2"/>
  <c r="E91" i="2"/>
  <c r="F91" i="2"/>
  <c r="C92" i="2"/>
  <c r="D92" i="2"/>
  <c r="E92" i="2"/>
  <c r="F92" i="2"/>
  <c r="C93" i="2"/>
  <c r="D93" i="2"/>
  <c r="E93" i="2"/>
  <c r="F93" i="2"/>
  <c r="C94" i="2"/>
  <c r="D94" i="2"/>
  <c r="E94" i="2"/>
  <c r="F94" i="2"/>
  <c r="C95" i="2"/>
  <c r="D95" i="2"/>
  <c r="E95" i="2"/>
  <c r="F95" i="2"/>
  <c r="C96" i="2"/>
  <c r="D96" i="2"/>
  <c r="E96" i="2"/>
  <c r="F96" i="2"/>
  <c r="C97" i="2"/>
  <c r="D97" i="2"/>
  <c r="E97" i="2"/>
  <c r="F97" i="2"/>
  <c r="C98" i="2"/>
  <c r="D98" i="2"/>
  <c r="E98" i="2"/>
  <c r="F98" i="2"/>
  <c r="C99" i="2"/>
  <c r="D99" i="2"/>
  <c r="E99" i="2"/>
  <c r="F99" i="2"/>
  <c r="C100" i="2"/>
  <c r="D100" i="2"/>
  <c r="E100" i="2"/>
  <c r="F100" i="2"/>
  <c r="C101" i="2"/>
  <c r="D101" i="2"/>
  <c r="E101" i="2"/>
  <c r="F101" i="2"/>
  <c r="C102" i="2"/>
  <c r="D102" i="2"/>
  <c r="E102" i="2"/>
  <c r="F102" i="2"/>
  <c r="C40" i="2" l="1"/>
  <c r="D40" i="2"/>
  <c r="E40" i="2"/>
  <c r="F40" i="2"/>
  <c r="C41" i="2"/>
  <c r="D41" i="2"/>
  <c r="E41" i="2"/>
  <c r="F41" i="2"/>
  <c r="C42" i="2"/>
  <c r="D42" i="2"/>
  <c r="E42" i="2"/>
  <c r="F42" i="2"/>
  <c r="C43" i="2"/>
  <c r="D43" i="2"/>
  <c r="E43" i="2"/>
  <c r="F43" i="2"/>
  <c r="C44" i="2"/>
  <c r="D44" i="2"/>
  <c r="E44" i="2"/>
  <c r="F44" i="2"/>
  <c r="C45" i="2"/>
  <c r="D45" i="2"/>
  <c r="E45" i="2"/>
  <c r="F45" i="2"/>
  <c r="C46" i="2"/>
  <c r="D46" i="2"/>
  <c r="E46" i="2"/>
  <c r="F46" i="2"/>
  <c r="C47" i="2"/>
  <c r="D47" i="2"/>
  <c r="E47" i="2"/>
  <c r="F47" i="2"/>
  <c r="C48" i="2"/>
  <c r="D48" i="2"/>
  <c r="E48" i="2"/>
  <c r="F48" i="2"/>
  <c r="C49" i="2"/>
  <c r="D49" i="2"/>
  <c r="E49" i="2"/>
  <c r="F49" i="2"/>
  <c r="C50" i="2"/>
  <c r="D50" i="2"/>
  <c r="E50" i="2"/>
  <c r="F50" i="2"/>
  <c r="C51" i="2"/>
  <c r="D51" i="2"/>
  <c r="E51" i="2"/>
  <c r="F51" i="2"/>
  <c r="C52" i="2"/>
  <c r="D52" i="2"/>
  <c r="E52" i="2"/>
  <c r="F52" i="2"/>
  <c r="C53" i="2"/>
  <c r="D53" i="2"/>
  <c r="E53" i="2"/>
  <c r="F53" i="2"/>
  <c r="C54" i="2"/>
  <c r="D54" i="2"/>
  <c r="E54" i="2"/>
  <c r="F54" i="2"/>
  <c r="C55" i="2"/>
  <c r="D55" i="2"/>
  <c r="E55" i="2"/>
  <c r="F55" i="2"/>
  <c r="C56" i="2"/>
  <c r="D56" i="2"/>
  <c r="E56" i="2"/>
  <c r="F56" i="2"/>
  <c r="C57" i="2"/>
  <c r="D57" i="2"/>
  <c r="E57" i="2"/>
  <c r="F57" i="2"/>
  <c r="C58" i="2"/>
  <c r="D58" i="2"/>
  <c r="E58" i="2"/>
  <c r="F58" i="2"/>
  <c r="C59" i="2"/>
  <c r="D59" i="2"/>
  <c r="E59" i="2"/>
  <c r="F59" i="2"/>
  <c r="C60" i="2"/>
  <c r="D60" i="2"/>
  <c r="E60" i="2"/>
  <c r="F60" i="2"/>
  <c r="C61" i="2"/>
  <c r="D61" i="2"/>
  <c r="E61" i="2"/>
  <c r="F61" i="2"/>
  <c r="C62" i="2"/>
  <c r="D62" i="2"/>
  <c r="E62" i="2"/>
  <c r="F62" i="2"/>
  <c r="C63" i="2"/>
  <c r="D63" i="2"/>
  <c r="E63" i="2"/>
  <c r="F63" i="2"/>
  <c r="C64" i="2"/>
  <c r="D64" i="2"/>
  <c r="E64" i="2"/>
  <c r="F64" i="2"/>
  <c r="C65" i="2"/>
  <c r="D65" i="2"/>
  <c r="E65" i="2"/>
  <c r="F65" i="2"/>
  <c r="C66" i="2"/>
  <c r="D66" i="2"/>
  <c r="E66" i="2"/>
  <c r="F66" i="2"/>
  <c r="C67" i="2"/>
  <c r="D67" i="2"/>
  <c r="E67" i="2"/>
  <c r="F67" i="2"/>
  <c r="C68" i="2"/>
  <c r="D68" i="2"/>
  <c r="E68" i="2"/>
  <c r="F68" i="2"/>
  <c r="C69" i="2"/>
  <c r="D69" i="2"/>
  <c r="E69" i="2"/>
  <c r="F69" i="2"/>
  <c r="C70" i="2"/>
  <c r="D70" i="2"/>
  <c r="E70" i="2"/>
  <c r="F70" i="2"/>
  <c r="C71" i="2"/>
  <c r="D71" i="2"/>
  <c r="E71" i="2"/>
  <c r="F71" i="2"/>
  <c r="C72" i="2"/>
  <c r="D72" i="2"/>
  <c r="E72" i="2"/>
  <c r="F72" i="2"/>
  <c r="C73" i="2"/>
  <c r="D73" i="2"/>
  <c r="E73" i="2"/>
  <c r="F73" i="2"/>
  <c r="C74" i="2"/>
  <c r="D74" i="2"/>
  <c r="E74" i="2"/>
  <c r="F74" i="2"/>
  <c r="C75" i="2"/>
  <c r="D75" i="2"/>
  <c r="E75" i="2"/>
  <c r="F75" i="2"/>
  <c r="C76" i="2"/>
  <c r="D76" i="2"/>
  <c r="E76" i="2"/>
  <c r="F76" i="2"/>
  <c r="C77" i="2"/>
  <c r="D77" i="2"/>
  <c r="E77" i="2"/>
  <c r="F77" i="2"/>
  <c r="B4" i="2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C30" i="2"/>
  <c r="D30" i="2"/>
  <c r="E30" i="2"/>
  <c r="F30" i="2"/>
  <c r="C31" i="2"/>
  <c r="D31" i="2"/>
  <c r="E31" i="2"/>
  <c r="F31" i="2"/>
  <c r="C32" i="2"/>
  <c r="D32" i="2"/>
  <c r="E32" i="2"/>
  <c r="F32" i="2"/>
  <c r="C33" i="2"/>
  <c r="D33" i="2"/>
  <c r="E33" i="2"/>
  <c r="F33" i="2"/>
  <c r="C34" i="2"/>
  <c r="D34" i="2"/>
  <c r="E34" i="2"/>
  <c r="F34" i="2"/>
  <c r="C35" i="2"/>
  <c r="D35" i="2"/>
  <c r="E35" i="2"/>
  <c r="F35" i="2"/>
  <c r="C36" i="2"/>
  <c r="D36" i="2"/>
  <c r="E36" i="2"/>
  <c r="F36" i="2"/>
  <c r="C37" i="2"/>
  <c r="D37" i="2"/>
  <c r="E37" i="2"/>
  <c r="F37" i="2"/>
  <c r="C38" i="2"/>
  <c r="D38" i="2"/>
  <c r="E38" i="2"/>
  <c r="F38" i="2"/>
  <c r="C39" i="2"/>
  <c r="D39" i="2"/>
  <c r="E39" i="2"/>
  <c r="F39" i="2"/>
  <c r="A20" i="1" l="1"/>
  <c r="A21" i="1" l="1"/>
  <c r="B102" i="1" l="1"/>
  <c r="B103" i="1" s="1" a="1"/>
  <c r="B103" i="1" s="1"/>
  <c r="B104" i="1" s="1" a="1"/>
  <c r="B104" i="1" s="1"/>
  <c r="B105" i="1" s="1" a="1"/>
  <c r="B105" i="1" s="1"/>
  <c r="B106" i="1" s="1" a="1"/>
  <c r="B106" i="1" s="1"/>
  <c r="B107" i="1" s="1" a="1"/>
  <c r="B107" i="1" s="1"/>
  <c r="B108" i="1" s="1" a="1"/>
  <c r="B108" i="1" s="1"/>
  <c r="B109" i="1" s="1" a="1"/>
  <c r="B109" i="1" s="1"/>
  <c r="B110" i="1" s="1" a="1"/>
  <c r="B110" i="1" s="1"/>
  <c r="F29" i="2" l="1"/>
  <c r="E29" i="2"/>
  <c r="D29" i="2"/>
  <c r="C29" i="2"/>
  <c r="F28" i="2"/>
  <c r="E28" i="2"/>
  <c r="D28" i="2"/>
  <c r="C28" i="2"/>
  <c r="F27" i="2"/>
  <c r="E27" i="2"/>
  <c r="D27" i="2"/>
  <c r="C27" i="2"/>
  <c r="F26" i="2"/>
  <c r="E26" i="2"/>
  <c r="D26" i="2"/>
  <c r="C26" i="2"/>
  <c r="F25" i="2"/>
  <c r="E25" i="2"/>
  <c r="D25" i="2"/>
  <c r="C25" i="2"/>
  <c r="F24" i="2"/>
  <c r="E24" i="2"/>
  <c r="D24" i="2"/>
  <c r="C24" i="2"/>
  <c r="F23" i="2"/>
  <c r="E23" i="2"/>
  <c r="D23" i="2"/>
  <c r="C23" i="2"/>
  <c r="F22" i="2"/>
  <c r="E22" i="2"/>
  <c r="D22" i="2"/>
  <c r="C22" i="2"/>
  <c r="F21" i="2"/>
  <c r="E21" i="2"/>
  <c r="D21" i="2"/>
  <c r="C21" i="2"/>
  <c r="F20" i="2"/>
  <c r="E20" i="2"/>
  <c r="D20" i="2"/>
  <c r="C20" i="2"/>
  <c r="F19" i="2"/>
  <c r="E19" i="2"/>
  <c r="D19" i="2"/>
  <c r="C19" i="2"/>
  <c r="F18" i="2"/>
  <c r="E18" i="2"/>
  <c r="D18" i="2"/>
  <c r="C18" i="2"/>
  <c r="F17" i="2"/>
  <c r="E17" i="2"/>
  <c r="D17" i="2"/>
  <c r="C17" i="2"/>
  <c r="F16" i="2"/>
  <c r="E16" i="2"/>
  <c r="D16" i="2"/>
  <c r="C16" i="2"/>
  <c r="F15" i="2"/>
  <c r="E15" i="2"/>
  <c r="D15" i="2"/>
  <c r="C15" i="2"/>
  <c r="F14" i="2"/>
  <c r="E14" i="2"/>
  <c r="D14" i="2"/>
  <c r="C14" i="2"/>
  <c r="F13" i="2"/>
  <c r="E13" i="2"/>
  <c r="D13" i="2"/>
  <c r="C13" i="2"/>
  <c r="F12" i="2"/>
  <c r="E12" i="2"/>
  <c r="D12" i="2"/>
  <c r="C12" i="2"/>
  <c r="F11" i="2"/>
  <c r="E11" i="2"/>
  <c r="D11" i="2"/>
  <c r="C11" i="2"/>
  <c r="F10" i="2"/>
  <c r="E10" i="2"/>
  <c r="D10" i="2"/>
  <c r="C10" i="2"/>
  <c r="F9" i="2"/>
  <c r="E9" i="2"/>
  <c r="D9" i="2"/>
  <c r="C9" i="2"/>
  <c r="F8" i="2"/>
  <c r="E8" i="2"/>
  <c r="D8" i="2"/>
  <c r="C8" i="2"/>
  <c r="F7" i="2"/>
  <c r="E7" i="2"/>
  <c r="D7" i="2"/>
  <c r="C7" i="2"/>
  <c r="F6" i="2"/>
  <c r="E6" i="2"/>
  <c r="D6" i="2"/>
  <c r="C6" i="2"/>
  <c r="F5" i="2"/>
  <c r="E5" i="2"/>
  <c r="D5" i="2"/>
  <c r="C5" i="2"/>
  <c r="F4" i="2"/>
  <c r="E4" i="2"/>
  <c r="D4" i="2"/>
  <c r="C4" i="2"/>
  <c r="C562" i="1" l="1"/>
  <c r="C563" i="1"/>
  <c r="C564" i="1"/>
  <c r="C565" i="1"/>
  <c r="C566" i="1"/>
  <c r="C567" i="1"/>
  <c r="C568" i="1"/>
  <c r="D682" i="1"/>
  <c r="D683" i="1"/>
  <c r="D684" i="1"/>
  <c r="D685" i="1"/>
  <c r="D686" i="1"/>
  <c r="D687" i="1"/>
  <c r="D688" i="1"/>
  <c r="D681" i="1"/>
  <c r="AB688" i="1"/>
  <c r="AB687" i="1"/>
  <c r="AB686" i="1"/>
  <c r="AB685" i="1"/>
  <c r="AB684" i="1"/>
  <c r="AB683" i="1"/>
  <c r="AB682" i="1"/>
  <c r="AB681" i="1"/>
  <c r="Y688" i="1"/>
  <c r="Y687" i="1"/>
  <c r="Y686" i="1"/>
  <c r="Y685" i="1"/>
  <c r="Y684" i="1"/>
  <c r="Y683" i="1"/>
  <c r="Y682" i="1"/>
  <c r="Y681" i="1"/>
  <c r="V688" i="1"/>
  <c r="V687" i="1"/>
  <c r="V686" i="1"/>
  <c r="V685" i="1"/>
  <c r="V684" i="1"/>
  <c r="V683" i="1"/>
  <c r="V682" i="1"/>
  <c r="V681" i="1"/>
  <c r="S688" i="1"/>
  <c r="S687" i="1"/>
  <c r="S686" i="1"/>
  <c r="S685" i="1"/>
  <c r="S684" i="1"/>
  <c r="S683" i="1"/>
  <c r="S682" i="1"/>
  <c r="S681" i="1"/>
  <c r="P688" i="1"/>
  <c r="P687" i="1"/>
  <c r="P686" i="1"/>
  <c r="P685" i="1"/>
  <c r="P684" i="1"/>
  <c r="P683" i="1"/>
  <c r="P682" i="1"/>
  <c r="P681" i="1"/>
  <c r="M688" i="1"/>
  <c r="M687" i="1"/>
  <c r="M686" i="1"/>
  <c r="M685" i="1"/>
  <c r="M684" i="1"/>
  <c r="M683" i="1"/>
  <c r="M682" i="1"/>
  <c r="M681" i="1"/>
  <c r="J688" i="1"/>
  <c r="J687" i="1"/>
  <c r="J686" i="1"/>
  <c r="J685" i="1"/>
  <c r="J684" i="1"/>
  <c r="J683" i="1"/>
  <c r="J682" i="1"/>
  <c r="J681" i="1"/>
  <c r="G688" i="1"/>
  <c r="G687" i="1"/>
  <c r="G686" i="1"/>
  <c r="G685" i="1"/>
  <c r="G684" i="1"/>
  <c r="G683" i="1"/>
  <c r="G682" i="1"/>
  <c r="G681" i="1"/>
  <c r="F3" i="2"/>
  <c r="E3" i="2"/>
  <c r="AA688" i="1" l="1"/>
  <c r="AA687" i="1"/>
  <c r="AA686" i="1"/>
  <c r="AA685" i="1"/>
  <c r="AA684" i="1"/>
  <c r="AA683" i="1"/>
  <c r="AA682" i="1"/>
  <c r="AA681" i="1"/>
  <c r="X688" i="1"/>
  <c r="X687" i="1"/>
  <c r="X686" i="1"/>
  <c r="X685" i="1"/>
  <c r="X684" i="1"/>
  <c r="X683" i="1"/>
  <c r="X682" i="1"/>
  <c r="X681" i="1"/>
  <c r="U688" i="1"/>
  <c r="U687" i="1"/>
  <c r="U686" i="1"/>
  <c r="U685" i="1"/>
  <c r="U684" i="1"/>
  <c r="U683" i="1"/>
  <c r="U682" i="1"/>
  <c r="U681" i="1"/>
  <c r="R688" i="1"/>
  <c r="R687" i="1"/>
  <c r="R686" i="1"/>
  <c r="R685" i="1"/>
  <c r="R684" i="1"/>
  <c r="R683" i="1"/>
  <c r="R682" i="1"/>
  <c r="R681" i="1"/>
  <c r="O688" i="1"/>
  <c r="O687" i="1"/>
  <c r="O686" i="1"/>
  <c r="O685" i="1"/>
  <c r="O684" i="1"/>
  <c r="O683" i="1"/>
  <c r="O682" i="1"/>
  <c r="O681" i="1"/>
  <c r="L688" i="1"/>
  <c r="L687" i="1"/>
  <c r="L686" i="1"/>
  <c r="L685" i="1"/>
  <c r="L684" i="1"/>
  <c r="L683" i="1"/>
  <c r="L682" i="1"/>
  <c r="L681" i="1"/>
  <c r="I688" i="1"/>
  <c r="I687" i="1"/>
  <c r="I686" i="1"/>
  <c r="I685" i="1"/>
  <c r="F688" i="1"/>
  <c r="F687" i="1"/>
  <c r="F686" i="1"/>
  <c r="F685" i="1"/>
  <c r="C685" i="1"/>
  <c r="C686" i="1"/>
  <c r="C687" i="1"/>
  <c r="C688" i="1"/>
  <c r="AA568" i="1"/>
  <c r="AA567" i="1"/>
  <c r="AA566" i="1"/>
  <c r="AA565" i="1"/>
  <c r="AA564" i="1"/>
  <c r="AA563" i="1"/>
  <c r="AA562" i="1"/>
  <c r="AA561" i="1"/>
  <c r="X568" i="1"/>
  <c r="X567" i="1"/>
  <c r="X566" i="1"/>
  <c r="X565" i="1"/>
  <c r="X564" i="1"/>
  <c r="X563" i="1"/>
  <c r="X562" i="1"/>
  <c r="X561" i="1"/>
  <c r="U568" i="1"/>
  <c r="U567" i="1"/>
  <c r="U566" i="1"/>
  <c r="U565" i="1"/>
  <c r="U564" i="1"/>
  <c r="U563" i="1"/>
  <c r="U562" i="1"/>
  <c r="U561" i="1"/>
  <c r="R568" i="1"/>
  <c r="R567" i="1"/>
  <c r="R566" i="1"/>
  <c r="R565" i="1"/>
  <c r="R564" i="1"/>
  <c r="R563" i="1"/>
  <c r="R562" i="1"/>
  <c r="R561" i="1"/>
  <c r="O568" i="1"/>
  <c r="O567" i="1"/>
  <c r="O566" i="1"/>
  <c r="O565" i="1"/>
  <c r="O564" i="1"/>
  <c r="O563" i="1"/>
  <c r="O562" i="1"/>
  <c r="L568" i="1"/>
  <c r="L567" i="1"/>
  <c r="L566" i="1"/>
  <c r="I568" i="1"/>
  <c r="I567" i="1"/>
  <c r="I566" i="1"/>
  <c r="F568" i="1"/>
  <c r="F567" i="1"/>
  <c r="F566" i="1"/>
  <c r="AL6" i="1"/>
  <c r="AO6" i="1"/>
  <c r="A3" i="1" l="1"/>
  <c r="AM6" i="1"/>
  <c r="AM17" i="1" s="1"/>
  <c r="AO13" i="1"/>
  <c r="AP6" i="1"/>
  <c r="AP11" i="1" s="1"/>
  <c r="AL7" i="1"/>
  <c r="AM7" i="1"/>
  <c r="AM12" i="1" s="1"/>
  <c r="AO7" i="1"/>
  <c r="AR12" i="1" s="1"/>
  <c r="AP7" i="1"/>
  <c r="AS12" i="1" s="1"/>
  <c r="AL10" i="1"/>
  <c r="AM10" i="1"/>
  <c r="AO10" i="1"/>
  <c r="AP10" i="1"/>
  <c r="AR10" i="1"/>
  <c r="AS10" i="1"/>
  <c r="AL11" i="1"/>
  <c r="AM11" i="1"/>
  <c r="AO11" i="1"/>
  <c r="AR11" i="1"/>
  <c r="AL12" i="1"/>
  <c r="AO12" i="1"/>
  <c r="AP12" i="1"/>
  <c r="AL13" i="1"/>
  <c r="AM13" i="1"/>
  <c r="AP13" i="1"/>
  <c r="AL14" i="1"/>
  <c r="AM14" i="1"/>
  <c r="AP14" i="1"/>
  <c r="AR14" i="1"/>
  <c r="AS14" i="1"/>
  <c r="AL15" i="1"/>
  <c r="AO15" i="1"/>
  <c r="AR15" i="1"/>
  <c r="AS15" i="1"/>
  <c r="AL16" i="1"/>
  <c r="AM16" i="1"/>
  <c r="AO16" i="1"/>
  <c r="AP16" i="1"/>
  <c r="AR16" i="1"/>
  <c r="AS16" i="1"/>
  <c r="AC17" i="1"/>
  <c r="AB569" i="1" s="1"/>
  <c r="AA569" i="1" s="1"/>
  <c r="AL17" i="1"/>
  <c r="AO17" i="1"/>
  <c r="AR17" i="1"/>
  <c r="AS17" i="1"/>
  <c r="AL18" i="1"/>
  <c r="AM18" i="1"/>
  <c r="AO18" i="1"/>
  <c r="AP18" i="1"/>
  <c r="AR18" i="1"/>
  <c r="AS18" i="1"/>
  <c r="A19" i="1"/>
  <c r="I684" i="1" s="1"/>
  <c r="AO19" i="1"/>
  <c r="AP19" i="1"/>
  <c r="AO20" i="1"/>
  <c r="AP20" i="1"/>
  <c r="AO21" i="1"/>
  <c r="AP21" i="1"/>
  <c r="AO22" i="1"/>
  <c r="AP22" i="1"/>
  <c r="AO24" i="1"/>
  <c r="AP24" i="1"/>
  <c r="AO25" i="1"/>
  <c r="AP25" i="1"/>
  <c r="AO26" i="1"/>
  <c r="AP26" i="1"/>
  <c r="AO27" i="1"/>
  <c r="AO28" i="1"/>
  <c r="AP28" i="1"/>
  <c r="AO29" i="1"/>
  <c r="AO30" i="1"/>
  <c r="AP30" i="1"/>
  <c r="AP31" i="1"/>
  <c r="AO32" i="1"/>
  <c r="AP32" i="1"/>
  <c r="AP33" i="1"/>
  <c r="AO34" i="1"/>
  <c r="AP34" i="1"/>
  <c r="AO35" i="1"/>
  <c r="AP35" i="1"/>
  <c r="AO36" i="1"/>
  <c r="AO37" i="1"/>
  <c r="AP37" i="1"/>
  <c r="AE38" i="1"/>
  <c r="AF38" i="1" s="1" a="1"/>
  <c r="AF38" i="1" s="1"/>
  <c r="AE39" i="1"/>
  <c r="AF39" i="1" s="1" a="1"/>
  <c r="AF39" i="1" s="1"/>
  <c r="AE40" i="1"/>
  <c r="AF40" i="1" s="1" a="1"/>
  <c r="AF40" i="1" s="1"/>
  <c r="AE41" i="1"/>
  <c r="AF41" i="1" s="1" a="1"/>
  <c r="AF41" i="1" s="1"/>
  <c r="AE42" i="1"/>
  <c r="AF42" i="1" s="1" a="1"/>
  <c r="AF42" i="1" s="1"/>
  <c r="AE43" i="1"/>
  <c r="AF43" i="1" s="1" a="1"/>
  <c r="AF43" i="1" s="1"/>
  <c r="AE44" i="1"/>
  <c r="AF44" i="1" s="1" a="1"/>
  <c r="AF44" i="1" s="1"/>
  <c r="AE45" i="1"/>
  <c r="AF45" i="1" s="1" a="1"/>
  <c r="AF45" i="1" s="1"/>
  <c r="AE48" i="1"/>
  <c r="AF48" i="1" s="1" a="1"/>
  <c r="AF48" i="1" s="1"/>
  <c r="AE49" i="1"/>
  <c r="AF49" i="1" s="1" a="1"/>
  <c r="AF49" i="1" s="1"/>
  <c r="AE50" i="1"/>
  <c r="AF50" i="1" s="1" a="1"/>
  <c r="AF50" i="1" s="1"/>
  <c r="AE51" i="1"/>
  <c r="AF51" i="1" s="1" a="1"/>
  <c r="AF51" i="1" s="1"/>
  <c r="AE52" i="1"/>
  <c r="AF52" i="1" s="1" a="1"/>
  <c r="AF52" i="1" s="1"/>
  <c r="AE53" i="1"/>
  <c r="AF53" i="1" s="1" a="1"/>
  <c r="AF53" i="1" s="1"/>
  <c r="AE54" i="1"/>
  <c r="AF54" i="1" s="1" a="1"/>
  <c r="AF54" i="1" s="1"/>
  <c r="AE55" i="1"/>
  <c r="AF55" i="1" s="1" a="1"/>
  <c r="AF55" i="1" s="1"/>
  <c r="AE56" i="1"/>
  <c r="AF56" i="1" s="1" a="1"/>
  <c r="AF56" i="1" s="1"/>
  <c r="AE57" i="1"/>
  <c r="AF57" i="1" s="1" a="1"/>
  <c r="AF57" i="1" s="1"/>
  <c r="AE58" i="1"/>
  <c r="AF58" i="1" s="1" a="1"/>
  <c r="AF58" i="1" s="1"/>
  <c r="AE59" i="1"/>
  <c r="AF59" i="1" s="1" a="1"/>
  <c r="AF59" i="1" s="1"/>
  <c r="AE60" i="1"/>
  <c r="AF60" i="1" s="1" a="1"/>
  <c r="AF60" i="1" s="1"/>
  <c r="AE61" i="1"/>
  <c r="AF61" i="1" s="1" a="1"/>
  <c r="AF61" i="1" s="1"/>
  <c r="AE62" i="1"/>
  <c r="AF62" i="1" s="1" a="1"/>
  <c r="AF62" i="1" s="1"/>
  <c r="AO62" i="1"/>
  <c r="AP62" i="1"/>
  <c r="AE63" i="1"/>
  <c r="AF63" i="1" s="1" a="1"/>
  <c r="AF63" i="1" s="1"/>
  <c r="AO63" i="1"/>
  <c r="AE64" i="1"/>
  <c r="AF64" i="1" s="1" a="1"/>
  <c r="AF64" i="1" s="1"/>
  <c r="AE65" i="1"/>
  <c r="AF65" i="1" s="1" a="1"/>
  <c r="AF65" i="1" s="1"/>
  <c r="AE66" i="1"/>
  <c r="AF66" i="1" s="1" a="1"/>
  <c r="AF66" i="1" s="1"/>
  <c r="AE67" i="1"/>
  <c r="AF67" i="1" s="1" a="1"/>
  <c r="AF67" i="1" s="1"/>
  <c r="AE68" i="1"/>
  <c r="AF68" i="1" s="1" a="1"/>
  <c r="AF68" i="1" s="1"/>
  <c r="AE69" i="1"/>
  <c r="AF69" i="1" s="1" a="1"/>
  <c r="AF69" i="1" s="1"/>
  <c r="AE70" i="1"/>
  <c r="AF70" i="1" s="1" a="1"/>
  <c r="AF70" i="1" s="1"/>
  <c r="AO70" i="1"/>
  <c r="AP70" i="1"/>
  <c r="AE71" i="1"/>
  <c r="AF71" i="1" s="1" a="1"/>
  <c r="AF71" i="1" s="1"/>
  <c r="AO71" i="1"/>
  <c r="AE72" i="1"/>
  <c r="AF72" i="1" s="1" a="1"/>
  <c r="AF72" i="1" s="1"/>
  <c r="AE73" i="1"/>
  <c r="AF73" i="1" s="1" a="1"/>
  <c r="AF73" i="1" s="1"/>
  <c r="AE74" i="1"/>
  <c r="AF74" i="1" s="1" a="1"/>
  <c r="AF74" i="1" s="1"/>
  <c r="AE75" i="1"/>
  <c r="AF75" i="1" s="1" a="1"/>
  <c r="AF75" i="1" s="1"/>
  <c r="AE76" i="1"/>
  <c r="AF76" i="1" s="1" a="1"/>
  <c r="AF76" i="1" s="1"/>
  <c r="AE77" i="1"/>
  <c r="AF77" i="1" s="1" a="1"/>
  <c r="AF77" i="1" s="1"/>
  <c r="AE78" i="1"/>
  <c r="AF78" i="1" s="1" a="1"/>
  <c r="AF78" i="1" s="1"/>
  <c r="AE79" i="1"/>
  <c r="AF79" i="1" s="1" a="1"/>
  <c r="AF79" i="1" s="1"/>
  <c r="AE80" i="1"/>
  <c r="AF80" i="1" s="1" a="1"/>
  <c r="AF80" i="1" s="1"/>
  <c r="AE81" i="1"/>
  <c r="AF81" i="1" s="1" a="1"/>
  <c r="AF81" i="1" s="1"/>
  <c r="AE82" i="1"/>
  <c r="AF82" i="1" s="1" a="1"/>
  <c r="AF82" i="1" s="1"/>
  <c r="AE83" i="1"/>
  <c r="AF83" i="1" s="1" a="1"/>
  <c r="AF83" i="1" s="1"/>
  <c r="AE84" i="1"/>
  <c r="AF84" i="1" s="1" a="1"/>
  <c r="AF84" i="1" s="1"/>
  <c r="AE85" i="1"/>
  <c r="AF85" i="1" s="1" a="1"/>
  <c r="AF85" i="1" s="1"/>
  <c r="AE86" i="1"/>
  <c r="AF86" i="1" s="1" a="1"/>
  <c r="AF86" i="1" s="1"/>
  <c r="AE87" i="1"/>
  <c r="AF87" i="1" s="1" a="1"/>
  <c r="AF87" i="1" s="1"/>
  <c r="AP87" i="1"/>
  <c r="AE88" i="1"/>
  <c r="AF88" i="1" s="1" a="1"/>
  <c r="AF88" i="1" s="1"/>
  <c r="AE89" i="1"/>
  <c r="AF89" i="1" s="1" a="1"/>
  <c r="AF89" i="1" s="1"/>
  <c r="AE90" i="1"/>
  <c r="AF90" i="1" s="1" a="1"/>
  <c r="AF90" i="1" s="1"/>
  <c r="AE91" i="1"/>
  <c r="AF91" i="1" s="1" a="1"/>
  <c r="AF91" i="1" s="1"/>
  <c r="AO112" i="1"/>
  <c r="AP112" i="1"/>
  <c r="AO113" i="1"/>
  <c r="AP113" i="1"/>
  <c r="AO114" i="1"/>
  <c r="AP114" i="1"/>
  <c r="AO115" i="1"/>
  <c r="AP115" i="1"/>
  <c r="AO116" i="1"/>
  <c r="AP116" i="1"/>
  <c r="AO117" i="1"/>
  <c r="AP117" i="1"/>
  <c r="AO118" i="1"/>
  <c r="AP118" i="1"/>
  <c r="AO119" i="1"/>
  <c r="AP119" i="1"/>
  <c r="AO120" i="1"/>
  <c r="AP120" i="1"/>
  <c r="AO121" i="1"/>
  <c r="AP121" i="1"/>
  <c r="AO122" i="1"/>
  <c r="AP122" i="1"/>
  <c r="AO123" i="1"/>
  <c r="AP123" i="1"/>
  <c r="AO124" i="1"/>
  <c r="AP124" i="1"/>
  <c r="AO125" i="1"/>
  <c r="AP125" i="1"/>
  <c r="AO322" i="1"/>
  <c r="AP322" i="1"/>
  <c r="AO323" i="1"/>
  <c r="AP323" i="1"/>
  <c r="AO324" i="1"/>
  <c r="AP324" i="1"/>
  <c r="AO325" i="1"/>
  <c r="AP325" i="1"/>
  <c r="AO326" i="1"/>
  <c r="AP326" i="1"/>
  <c r="AO327" i="1"/>
  <c r="AP327" i="1"/>
  <c r="AO328" i="1"/>
  <c r="AP328" i="1"/>
  <c r="AO329" i="1"/>
  <c r="AP329" i="1"/>
  <c r="AO330" i="1"/>
  <c r="AP330" i="1"/>
  <c r="AO331" i="1"/>
  <c r="AP331" i="1"/>
  <c r="AO332" i="1"/>
  <c r="AP332" i="1"/>
  <c r="AO333" i="1"/>
  <c r="AP333" i="1"/>
  <c r="U529" i="1"/>
  <c r="AB529" i="1"/>
  <c r="R546" i="1"/>
  <c r="X538" i="1"/>
  <c r="O531" i="1"/>
  <c r="V531" i="1"/>
  <c r="AB555" i="1"/>
  <c r="S411" i="1"/>
  <c r="X412" i="1"/>
  <c r="D438" i="1"/>
  <c r="O440" i="1"/>
  <c r="V557" i="1"/>
  <c r="AA436" i="1"/>
  <c r="F468" i="1"/>
  <c r="J558" i="1"/>
  <c r="M460" i="1"/>
  <c r="R464" i="1"/>
  <c r="Y456" i="1"/>
  <c r="D488" i="1"/>
  <c r="J486" i="1"/>
  <c r="P559" i="1"/>
  <c r="V482" i="1"/>
  <c r="AB480" i="1"/>
  <c r="D560" i="1"/>
  <c r="G512" i="1"/>
  <c r="M552" i="1"/>
  <c r="S508" i="1"/>
  <c r="Y517" i="1"/>
  <c r="AB560" i="1"/>
  <c r="AA650" i="1"/>
  <c r="AA657" i="1"/>
  <c r="AA659" i="1"/>
  <c r="AB632" i="1" l="1"/>
  <c r="AA632" i="1" s="1"/>
  <c r="AB658" i="1"/>
  <c r="AA658" i="1" s="1"/>
  <c r="AB600" i="1"/>
  <c r="AA600" i="1" s="1"/>
  <c r="AB612" i="1"/>
  <c r="AA612" i="1" s="1"/>
  <c r="AB644" i="1"/>
  <c r="AA644" i="1" s="1"/>
  <c r="AB580" i="1"/>
  <c r="AA580" i="1" s="1"/>
  <c r="AB628" i="1"/>
  <c r="AA628" i="1" s="1"/>
  <c r="AB596" i="1"/>
  <c r="AA596" i="1" s="1"/>
  <c r="AB648" i="1"/>
  <c r="AA648" i="1" s="1"/>
  <c r="AB616" i="1"/>
  <c r="AA616" i="1" s="1"/>
  <c r="AB584" i="1"/>
  <c r="AA584" i="1" s="1"/>
  <c r="AB661" i="1"/>
  <c r="AA661" i="1" s="1"/>
  <c r="AB654" i="1"/>
  <c r="AA654" i="1" s="1"/>
  <c r="AB640" i="1"/>
  <c r="AA640" i="1" s="1"/>
  <c r="AB624" i="1"/>
  <c r="AA624" i="1" s="1"/>
  <c r="AB608" i="1"/>
  <c r="AA608" i="1" s="1"/>
  <c r="AB592" i="1"/>
  <c r="AA592" i="1" s="1"/>
  <c r="AB576" i="1"/>
  <c r="AA576" i="1" s="1"/>
  <c r="AB636" i="1"/>
  <c r="AA636" i="1" s="1"/>
  <c r="AB620" i="1"/>
  <c r="AA620" i="1" s="1"/>
  <c r="AB604" i="1"/>
  <c r="AA604" i="1" s="1"/>
  <c r="AB588" i="1"/>
  <c r="AA588" i="1" s="1"/>
  <c r="AB572" i="1"/>
  <c r="AA572" i="1" s="1"/>
  <c r="AB664" i="1"/>
  <c r="AA664" i="1" s="1"/>
  <c r="AB660" i="1"/>
  <c r="AA660" i="1" s="1"/>
  <c r="AB657" i="1"/>
  <c r="AB652" i="1"/>
  <c r="AA652" i="1" s="1"/>
  <c r="AB647" i="1"/>
  <c r="AA647" i="1" s="1"/>
  <c r="AB643" i="1"/>
  <c r="AA643" i="1" s="1"/>
  <c r="AB639" i="1"/>
  <c r="AA639" i="1" s="1"/>
  <c r="AB635" i="1"/>
  <c r="AA635" i="1" s="1"/>
  <c r="AB631" i="1"/>
  <c r="AA631" i="1" s="1"/>
  <c r="AB627" i="1"/>
  <c r="AA627" i="1" s="1"/>
  <c r="AB623" i="1"/>
  <c r="AA623" i="1" s="1"/>
  <c r="AB619" i="1"/>
  <c r="AA619" i="1" s="1"/>
  <c r="AB615" i="1"/>
  <c r="AA615" i="1" s="1"/>
  <c r="AB611" i="1"/>
  <c r="AA611" i="1" s="1"/>
  <c r="AB607" i="1"/>
  <c r="AA607" i="1" s="1"/>
  <c r="AB603" i="1"/>
  <c r="AA603" i="1" s="1"/>
  <c r="AB599" i="1"/>
  <c r="AA599" i="1" s="1"/>
  <c r="AB595" i="1"/>
  <c r="AA595" i="1" s="1"/>
  <c r="AB591" i="1"/>
  <c r="AA591" i="1" s="1"/>
  <c r="AB587" i="1"/>
  <c r="AA587" i="1" s="1"/>
  <c r="AB583" i="1"/>
  <c r="AA583" i="1" s="1"/>
  <c r="AB579" i="1"/>
  <c r="AA579" i="1" s="1"/>
  <c r="AB575" i="1"/>
  <c r="AA575" i="1" s="1"/>
  <c r="AB571" i="1"/>
  <c r="AA571" i="1" s="1"/>
  <c r="AB663" i="1"/>
  <c r="AA663" i="1" s="1"/>
  <c r="AB659" i="1"/>
  <c r="AB650" i="1"/>
  <c r="AB646" i="1"/>
  <c r="AA646" i="1" s="1"/>
  <c r="AB642" i="1"/>
  <c r="AA642" i="1" s="1"/>
  <c r="AB638" i="1"/>
  <c r="AA638" i="1" s="1"/>
  <c r="AB634" i="1"/>
  <c r="AA634" i="1" s="1"/>
  <c r="AB630" i="1"/>
  <c r="AA630" i="1" s="1"/>
  <c r="AB626" i="1"/>
  <c r="AA626" i="1" s="1"/>
  <c r="AB622" i="1"/>
  <c r="AA622" i="1" s="1"/>
  <c r="AB618" i="1"/>
  <c r="AA618" i="1" s="1"/>
  <c r="AB614" i="1"/>
  <c r="AA614" i="1" s="1"/>
  <c r="AB610" i="1"/>
  <c r="AA610" i="1" s="1"/>
  <c r="AB606" i="1"/>
  <c r="AA606" i="1" s="1"/>
  <c r="AB602" i="1"/>
  <c r="AA602" i="1" s="1"/>
  <c r="AB598" i="1"/>
  <c r="AA598" i="1" s="1"/>
  <c r="AB594" i="1"/>
  <c r="AA594" i="1" s="1"/>
  <c r="AB590" i="1"/>
  <c r="AA590" i="1" s="1"/>
  <c r="AB586" i="1"/>
  <c r="AA586" i="1" s="1"/>
  <c r="AB582" i="1"/>
  <c r="AA582" i="1" s="1"/>
  <c r="AB578" i="1"/>
  <c r="AA578" i="1" s="1"/>
  <c r="AB574" i="1"/>
  <c r="AA574" i="1" s="1"/>
  <c r="AB570" i="1"/>
  <c r="AA570" i="1" s="1"/>
  <c r="AB662" i="1"/>
  <c r="AA662" i="1" s="1"/>
  <c r="AB656" i="1"/>
  <c r="AA656" i="1" s="1"/>
  <c r="AB645" i="1"/>
  <c r="AA645" i="1" s="1"/>
  <c r="AB641" i="1"/>
  <c r="AA641" i="1" s="1"/>
  <c r="AB637" i="1"/>
  <c r="AA637" i="1" s="1"/>
  <c r="AB633" i="1"/>
  <c r="AA633" i="1" s="1"/>
  <c r="AB629" i="1"/>
  <c r="AA629" i="1" s="1"/>
  <c r="AB625" i="1"/>
  <c r="AA625" i="1" s="1"/>
  <c r="AB621" i="1"/>
  <c r="AA621" i="1" s="1"/>
  <c r="AB617" i="1"/>
  <c r="AA617" i="1" s="1"/>
  <c r="AB613" i="1"/>
  <c r="AA613" i="1" s="1"/>
  <c r="AB609" i="1"/>
  <c r="AA609" i="1" s="1"/>
  <c r="AB605" i="1"/>
  <c r="AA605" i="1" s="1"/>
  <c r="AB601" i="1"/>
  <c r="AA601" i="1" s="1"/>
  <c r="AB597" i="1"/>
  <c r="AA597" i="1" s="1"/>
  <c r="AB593" i="1"/>
  <c r="AA593" i="1" s="1"/>
  <c r="AB589" i="1"/>
  <c r="AA589" i="1" s="1"/>
  <c r="AB585" i="1"/>
  <c r="AA585" i="1" s="1"/>
  <c r="AB581" i="1"/>
  <c r="AA581" i="1" s="1"/>
  <c r="AB577" i="1"/>
  <c r="AA577" i="1" s="1"/>
  <c r="AB573" i="1"/>
  <c r="AA573" i="1" s="1"/>
  <c r="O690" i="1"/>
  <c r="I681" i="1"/>
  <c r="I682" i="1"/>
  <c r="I683" i="1"/>
  <c r="R693" i="1"/>
  <c r="AA690" i="1"/>
  <c r="U690" i="1"/>
  <c r="F681" i="1"/>
  <c r="C681" i="1"/>
  <c r="C696" i="1"/>
  <c r="AA695" i="1"/>
  <c r="X696" i="1"/>
  <c r="U696" i="1"/>
  <c r="R696" i="1"/>
  <c r="O696" i="1"/>
  <c r="I696" i="1"/>
  <c r="F684" i="1"/>
  <c r="C682" i="1"/>
  <c r="C693" i="1"/>
  <c r="F695" i="1"/>
  <c r="X691" i="1"/>
  <c r="U691" i="1"/>
  <c r="R691" i="1"/>
  <c r="O691" i="1"/>
  <c r="L695" i="1"/>
  <c r="F683" i="1"/>
  <c r="C683" i="1"/>
  <c r="C694" i="1"/>
  <c r="F696" i="1"/>
  <c r="X692" i="1"/>
  <c r="U692" i="1"/>
  <c r="R692" i="1"/>
  <c r="O692" i="1"/>
  <c r="L696" i="1"/>
  <c r="F682" i="1"/>
  <c r="C684" i="1"/>
  <c r="C695" i="1"/>
  <c r="AA691" i="1"/>
  <c r="X695" i="1"/>
  <c r="U695" i="1"/>
  <c r="R695" i="1"/>
  <c r="O695" i="1"/>
  <c r="I695" i="1"/>
  <c r="AA693" i="1"/>
  <c r="O693" i="1"/>
  <c r="AA696" i="1"/>
  <c r="X694" i="1"/>
  <c r="R694" i="1"/>
  <c r="L694" i="1"/>
  <c r="X693" i="1"/>
  <c r="AA692" i="1"/>
  <c r="X690" i="1"/>
  <c r="R690" i="1"/>
  <c r="I694" i="1"/>
  <c r="U693" i="1"/>
  <c r="I693" i="1"/>
  <c r="AA694" i="1"/>
  <c r="U694" i="1"/>
  <c r="O694" i="1"/>
  <c r="F694" i="1"/>
  <c r="AB649" i="1"/>
  <c r="AA649" i="1" s="1"/>
  <c r="AE94" i="1"/>
  <c r="AF94" i="1" s="1" a="1"/>
  <c r="AF94" i="1" s="1"/>
  <c r="AB655" i="1"/>
  <c r="AA655" i="1" s="1"/>
  <c r="AB653" i="1"/>
  <c r="AA653" i="1" s="1"/>
  <c r="AB651" i="1"/>
  <c r="AA651" i="1" s="1"/>
  <c r="AM15" i="1"/>
  <c r="AA689" i="1"/>
  <c r="X689" i="1"/>
  <c r="U689" i="1"/>
  <c r="AS11" i="1"/>
  <c r="AP71" i="1"/>
  <c r="AP63" i="1"/>
  <c r="AP36" i="1"/>
  <c r="AP29" i="1"/>
  <c r="AP27" i="1"/>
  <c r="AP23" i="1"/>
  <c r="AP17" i="1"/>
  <c r="AP15" i="1"/>
  <c r="AO87" i="1"/>
  <c r="AO33" i="1"/>
  <c r="AO31" i="1"/>
  <c r="AO23" i="1"/>
  <c r="AO14" i="1"/>
  <c r="C101" i="1"/>
  <c r="G462" i="1"/>
  <c r="S554" i="1"/>
  <c r="O547" i="1"/>
  <c r="U438" i="1"/>
  <c r="AB559" i="1"/>
  <c r="Y552" i="1"/>
  <c r="L524" i="1"/>
  <c r="O378" i="1"/>
  <c r="G558" i="1"/>
  <c r="D551" i="1"/>
  <c r="M518" i="1"/>
  <c r="S424" i="1"/>
  <c r="Y560" i="1"/>
  <c r="D559" i="1"/>
  <c r="P555" i="1"/>
  <c r="V553" i="1"/>
  <c r="AB551" i="1"/>
  <c r="G550" i="1"/>
  <c r="G523" i="1"/>
  <c r="Y514" i="1"/>
  <c r="C494" i="1"/>
  <c r="P484" i="1"/>
  <c r="S458" i="1"/>
  <c r="Y304" i="1"/>
  <c r="M534" i="1"/>
  <c r="V498" i="1"/>
  <c r="S560" i="1"/>
  <c r="Y558" i="1"/>
  <c r="D557" i="1"/>
  <c r="V551" i="1"/>
  <c r="AB549" i="1"/>
  <c r="Y530" i="1"/>
  <c r="M521" i="1"/>
  <c r="M510" i="1"/>
  <c r="O490" i="1"/>
  <c r="P450" i="1"/>
  <c r="U434" i="1"/>
  <c r="U392" i="1"/>
  <c r="V485" i="1"/>
  <c r="M560" i="1"/>
  <c r="S558" i="1"/>
  <c r="Y556" i="1"/>
  <c r="P551" i="1"/>
  <c r="V549" i="1"/>
  <c r="AB547" i="1"/>
  <c r="U545" i="1"/>
  <c r="G520" i="1"/>
  <c r="Y506" i="1"/>
  <c r="M463" i="1"/>
  <c r="V432" i="1"/>
  <c r="AB387" i="1"/>
  <c r="V507" i="1"/>
  <c r="V523" i="1"/>
  <c r="U536" i="1"/>
  <c r="V560" i="1"/>
  <c r="U505" i="1"/>
  <c r="U544" i="1"/>
  <c r="V552" i="1"/>
  <c r="U513" i="1"/>
  <c r="V526" i="1"/>
  <c r="J515" i="1"/>
  <c r="I509" i="1"/>
  <c r="J514" i="1"/>
  <c r="J527" i="1"/>
  <c r="I544" i="1"/>
  <c r="J560" i="1"/>
  <c r="J511" i="1"/>
  <c r="I517" i="1"/>
  <c r="I536" i="1"/>
  <c r="J552" i="1"/>
  <c r="Y481" i="1"/>
  <c r="Y492" i="1"/>
  <c r="X543" i="1"/>
  <c r="Y551" i="1"/>
  <c r="X535" i="1"/>
  <c r="Y559" i="1"/>
  <c r="X479" i="1"/>
  <c r="M485" i="1"/>
  <c r="L483" i="1"/>
  <c r="L535" i="1"/>
  <c r="M551" i="1"/>
  <c r="M496" i="1"/>
  <c r="L543" i="1"/>
  <c r="AB455" i="1"/>
  <c r="AA453" i="1"/>
  <c r="AA534" i="1"/>
  <c r="AB558" i="1"/>
  <c r="AB466" i="1"/>
  <c r="AA542" i="1"/>
  <c r="AB550" i="1"/>
  <c r="P459" i="1"/>
  <c r="O542" i="1"/>
  <c r="P558" i="1"/>
  <c r="O457" i="1"/>
  <c r="P470" i="1"/>
  <c r="P550" i="1"/>
  <c r="D463" i="1"/>
  <c r="C542" i="1"/>
  <c r="D550" i="1"/>
  <c r="D455" i="1"/>
  <c r="C461" i="1"/>
  <c r="D474" i="1"/>
  <c r="D558" i="1"/>
  <c r="R439" i="1"/>
  <c r="S444" i="1"/>
  <c r="S549" i="1"/>
  <c r="R541" i="1"/>
  <c r="S557" i="1"/>
  <c r="U421" i="1"/>
  <c r="U540" i="1"/>
  <c r="V556" i="1"/>
  <c r="U405" i="1"/>
  <c r="V548" i="1"/>
  <c r="X547" i="1"/>
  <c r="Y547" i="1"/>
  <c r="X539" i="1"/>
  <c r="Y555" i="1"/>
  <c r="AB546" i="1"/>
  <c r="AA538" i="1"/>
  <c r="AB554" i="1"/>
  <c r="O554" i="1"/>
  <c r="O538" i="1"/>
  <c r="P554" i="1"/>
  <c r="O546" i="1"/>
  <c r="R553" i="1"/>
  <c r="R545" i="1"/>
  <c r="S553" i="1"/>
  <c r="R537" i="1"/>
  <c r="M559" i="1"/>
  <c r="J559" i="1"/>
  <c r="P557" i="1"/>
  <c r="V555" i="1"/>
  <c r="AB553" i="1"/>
  <c r="G552" i="1"/>
  <c r="M550" i="1"/>
  <c r="S548" i="1"/>
  <c r="F526" i="1"/>
  <c r="R522" i="1"/>
  <c r="S519" i="1"/>
  <c r="S516" i="1"/>
  <c r="J489" i="1"/>
  <c r="M476" i="1"/>
  <c r="D441" i="1"/>
  <c r="V559" i="1"/>
  <c r="AB557" i="1"/>
  <c r="S552" i="1"/>
  <c r="Y550" i="1"/>
  <c r="D549" i="1"/>
  <c r="S532" i="1"/>
  <c r="J502" i="1"/>
  <c r="AB446" i="1"/>
  <c r="G560" i="1"/>
  <c r="M558" i="1"/>
  <c r="S556" i="1"/>
  <c r="Y554" i="1"/>
  <c r="J551" i="1"/>
  <c r="S550" i="1"/>
  <c r="P549" i="1"/>
  <c r="Y548" i="1"/>
  <c r="V547" i="1"/>
  <c r="X520" i="1"/>
  <c r="AB499" i="1"/>
  <c r="AA486" i="1"/>
  <c r="Y472" i="1"/>
  <c r="Y459" i="1"/>
  <c r="P437" i="1"/>
  <c r="C428" i="1"/>
  <c r="AA337" i="1"/>
  <c r="O297" i="1"/>
  <c r="O299" i="1"/>
  <c r="O301" i="1"/>
  <c r="O303" i="1"/>
  <c r="O305" i="1"/>
  <c r="O307" i="1"/>
  <c r="O309" i="1"/>
  <c r="O311" i="1"/>
  <c r="O313" i="1"/>
  <c r="O315" i="1"/>
  <c r="O317" i="1"/>
  <c r="O319" i="1"/>
  <c r="O298" i="1"/>
  <c r="P300" i="1"/>
  <c r="P303" i="1"/>
  <c r="O306" i="1"/>
  <c r="P308" i="1"/>
  <c r="P311" i="1"/>
  <c r="O314" i="1"/>
  <c r="P316" i="1"/>
  <c r="P319" i="1"/>
  <c r="O504" i="1"/>
  <c r="O506" i="1"/>
  <c r="O508" i="1"/>
  <c r="O510" i="1"/>
  <c r="O512" i="1"/>
  <c r="O514" i="1"/>
  <c r="O516" i="1"/>
  <c r="O518" i="1"/>
  <c r="O520" i="1"/>
  <c r="O522" i="1"/>
  <c r="O524" i="1"/>
  <c r="O526" i="1"/>
  <c r="O528" i="1"/>
  <c r="P302" i="1"/>
  <c r="P304" i="1"/>
  <c r="P306" i="1"/>
  <c r="O308" i="1"/>
  <c r="O310" i="1"/>
  <c r="O312" i="1"/>
  <c r="O296" i="1"/>
  <c r="P305" i="1"/>
  <c r="P307" i="1"/>
  <c r="P309" i="1"/>
  <c r="P318" i="1"/>
  <c r="P320" i="1"/>
  <c r="P297" i="1"/>
  <c r="P301" i="1"/>
  <c r="P312" i="1"/>
  <c r="O316" i="1"/>
  <c r="O320" i="1"/>
  <c r="P298" i="1"/>
  <c r="O302" i="1"/>
  <c r="P299" i="1"/>
  <c r="P310" i="1"/>
  <c r="P314" i="1"/>
  <c r="O318" i="1"/>
  <c r="P296" i="1"/>
  <c r="O300" i="1"/>
  <c r="P313" i="1"/>
  <c r="O304" i="1"/>
  <c r="P315" i="1"/>
  <c r="O505" i="1"/>
  <c r="P507" i="1"/>
  <c r="P510" i="1"/>
  <c r="O513" i="1"/>
  <c r="P515" i="1"/>
  <c r="P518" i="1"/>
  <c r="O521" i="1"/>
  <c r="P523" i="1"/>
  <c r="P526" i="1"/>
  <c r="P536" i="1"/>
  <c r="P544" i="1"/>
  <c r="P505" i="1"/>
  <c r="P508" i="1"/>
  <c r="P506" i="1"/>
  <c r="O509" i="1"/>
  <c r="P511" i="1"/>
  <c r="P514" i="1"/>
  <c r="O517" i="1"/>
  <c r="P519" i="1"/>
  <c r="P522" i="1"/>
  <c r="O525" i="1"/>
  <c r="P527" i="1"/>
  <c r="P509" i="1"/>
  <c r="O511" i="1"/>
  <c r="P521" i="1"/>
  <c r="P524" i="1"/>
  <c r="O527" i="1"/>
  <c r="P317" i="1"/>
  <c r="O507" i="1"/>
  <c r="P517" i="1"/>
  <c r="P520" i="1"/>
  <c r="O523" i="1"/>
  <c r="O536" i="1"/>
  <c r="O544" i="1"/>
  <c r="P513" i="1"/>
  <c r="P516" i="1"/>
  <c r="O519" i="1"/>
  <c r="O552" i="1"/>
  <c r="O560" i="1"/>
  <c r="P504" i="1"/>
  <c r="P512" i="1"/>
  <c r="O515" i="1"/>
  <c r="P525" i="1"/>
  <c r="P528" i="1"/>
  <c r="R271" i="1"/>
  <c r="R273" i="1"/>
  <c r="R275" i="1"/>
  <c r="R277" i="1"/>
  <c r="R279" i="1"/>
  <c r="R281" i="1"/>
  <c r="R283" i="1"/>
  <c r="R285" i="1"/>
  <c r="R287" i="1"/>
  <c r="R289" i="1"/>
  <c r="R291" i="1"/>
  <c r="R293" i="1"/>
  <c r="S270" i="1"/>
  <c r="R272" i="1"/>
  <c r="S274" i="1"/>
  <c r="S277" i="1"/>
  <c r="R280" i="1"/>
  <c r="S282" i="1"/>
  <c r="S285" i="1"/>
  <c r="R288" i="1"/>
  <c r="S290" i="1"/>
  <c r="S293" i="1"/>
  <c r="R478" i="1"/>
  <c r="R480" i="1"/>
  <c r="R482" i="1"/>
  <c r="R484" i="1"/>
  <c r="R486" i="1"/>
  <c r="R488" i="1"/>
  <c r="R490" i="1"/>
  <c r="R492" i="1"/>
  <c r="R494" i="1"/>
  <c r="R496" i="1"/>
  <c r="R498" i="1"/>
  <c r="R500" i="1"/>
  <c r="R502" i="1"/>
  <c r="S276" i="1"/>
  <c r="S278" i="1"/>
  <c r="S280" i="1"/>
  <c r="R282" i="1"/>
  <c r="R284" i="1"/>
  <c r="R286" i="1"/>
  <c r="S279" i="1"/>
  <c r="S281" i="1"/>
  <c r="S283" i="1"/>
  <c r="S292" i="1"/>
  <c r="S294" i="1"/>
  <c r="S273" i="1"/>
  <c r="S284" i="1"/>
  <c r="S288" i="1"/>
  <c r="R292" i="1"/>
  <c r="R270" i="1"/>
  <c r="R274" i="1"/>
  <c r="R278" i="1"/>
  <c r="S289" i="1"/>
  <c r="S271" i="1"/>
  <c r="S275" i="1"/>
  <c r="S286" i="1"/>
  <c r="R290" i="1"/>
  <c r="R294" i="1"/>
  <c r="R276" i="1"/>
  <c r="S287" i="1"/>
  <c r="R479" i="1"/>
  <c r="S481" i="1"/>
  <c r="S484" i="1"/>
  <c r="R487" i="1"/>
  <c r="S489" i="1"/>
  <c r="S492" i="1"/>
  <c r="R495" i="1"/>
  <c r="S497" i="1"/>
  <c r="S500" i="1"/>
  <c r="S535" i="1"/>
  <c r="S543" i="1"/>
  <c r="S272" i="1"/>
  <c r="S479" i="1"/>
  <c r="S482" i="1"/>
  <c r="R485" i="1"/>
  <c r="S487" i="1"/>
  <c r="S490" i="1"/>
  <c r="R493" i="1"/>
  <c r="S495" i="1"/>
  <c r="S498" i="1"/>
  <c r="R501" i="1"/>
  <c r="S480" i="1"/>
  <c r="R483" i="1"/>
  <c r="S485" i="1"/>
  <c r="S488" i="1"/>
  <c r="R491" i="1"/>
  <c r="S493" i="1"/>
  <c r="S496" i="1"/>
  <c r="R499" i="1"/>
  <c r="S501" i="1"/>
  <c r="S483" i="1"/>
  <c r="R489" i="1"/>
  <c r="S502" i="1"/>
  <c r="R481" i="1"/>
  <c r="S494" i="1"/>
  <c r="R535" i="1"/>
  <c r="R543" i="1"/>
  <c r="S291" i="1"/>
  <c r="S486" i="1"/>
  <c r="S499" i="1"/>
  <c r="R551" i="1"/>
  <c r="R559" i="1"/>
  <c r="S478" i="1"/>
  <c r="S491" i="1"/>
  <c r="R497" i="1"/>
  <c r="U244" i="1"/>
  <c r="U246" i="1"/>
  <c r="U248" i="1"/>
  <c r="U250" i="1"/>
  <c r="U252" i="1"/>
  <c r="U254" i="1"/>
  <c r="U256" i="1"/>
  <c r="U258" i="1"/>
  <c r="U260" i="1"/>
  <c r="U262" i="1"/>
  <c r="U245" i="1"/>
  <c r="V247" i="1"/>
  <c r="V250" i="1"/>
  <c r="U253" i="1"/>
  <c r="V255" i="1"/>
  <c r="V258" i="1"/>
  <c r="U261" i="1"/>
  <c r="V263" i="1"/>
  <c r="U265" i="1"/>
  <c r="U267" i="1"/>
  <c r="V245" i="1"/>
  <c r="U247" i="1"/>
  <c r="U249" i="1"/>
  <c r="U251" i="1"/>
  <c r="V260" i="1"/>
  <c r="V262" i="1"/>
  <c r="U266" i="1"/>
  <c r="V268" i="1"/>
  <c r="V244" i="1"/>
  <c r="V246" i="1"/>
  <c r="V248" i="1"/>
  <c r="V257" i="1"/>
  <c r="V259" i="1"/>
  <c r="V261" i="1"/>
  <c r="U263" i="1"/>
  <c r="V264" i="1"/>
  <c r="V267" i="1"/>
  <c r="U452" i="1"/>
  <c r="U454" i="1"/>
  <c r="U456" i="1"/>
  <c r="U458" i="1"/>
  <c r="U460" i="1"/>
  <c r="U462" i="1"/>
  <c r="U464" i="1"/>
  <c r="U466" i="1"/>
  <c r="U468" i="1"/>
  <c r="U470" i="1"/>
  <c r="U472" i="1"/>
  <c r="U474" i="1"/>
  <c r="U476" i="1"/>
  <c r="V251" i="1"/>
  <c r="U255" i="1"/>
  <c r="U259" i="1"/>
  <c r="V266" i="1"/>
  <c r="V249" i="1"/>
  <c r="V253" i="1"/>
  <c r="U257" i="1"/>
  <c r="U264" i="1"/>
  <c r="V256" i="1"/>
  <c r="V265" i="1"/>
  <c r="V252" i="1"/>
  <c r="U268" i="1"/>
  <c r="V254" i="1"/>
  <c r="U453" i="1"/>
  <c r="V455" i="1"/>
  <c r="V458" i="1"/>
  <c r="U461" i="1"/>
  <c r="V463" i="1"/>
  <c r="V466" i="1"/>
  <c r="U469" i="1"/>
  <c r="V471" i="1"/>
  <c r="V474" i="1"/>
  <c r="V534" i="1"/>
  <c r="V542" i="1"/>
  <c r="V453" i="1"/>
  <c r="V456" i="1"/>
  <c r="U459" i="1"/>
  <c r="V461" i="1"/>
  <c r="V464" i="1"/>
  <c r="U467" i="1"/>
  <c r="V469" i="1"/>
  <c r="V472" i="1"/>
  <c r="U475" i="1"/>
  <c r="V454" i="1"/>
  <c r="U457" i="1"/>
  <c r="V459" i="1"/>
  <c r="V462" i="1"/>
  <c r="U465" i="1"/>
  <c r="V467" i="1"/>
  <c r="V470" i="1"/>
  <c r="U473" i="1"/>
  <c r="V475" i="1"/>
  <c r="V457" i="1"/>
  <c r="U463" i="1"/>
  <c r="V476" i="1"/>
  <c r="U455" i="1"/>
  <c r="V468" i="1"/>
  <c r="U534" i="1"/>
  <c r="U542" i="1"/>
  <c r="V460" i="1"/>
  <c r="V473" i="1"/>
  <c r="U550" i="1"/>
  <c r="U558" i="1"/>
  <c r="V452" i="1"/>
  <c r="V465" i="1"/>
  <c r="U471" i="1"/>
  <c r="Y218" i="1"/>
  <c r="Y220" i="1"/>
  <c r="Y222" i="1"/>
  <c r="X219" i="1"/>
  <c r="X221" i="1"/>
  <c r="X223" i="1"/>
  <c r="X220" i="1"/>
  <c r="X224" i="1"/>
  <c r="X226" i="1"/>
  <c r="X228" i="1"/>
  <c r="X230" i="1"/>
  <c r="X232" i="1"/>
  <c r="X234" i="1"/>
  <c r="X236" i="1"/>
  <c r="X238" i="1"/>
  <c r="X240" i="1"/>
  <c r="X242" i="1"/>
  <c r="Y221" i="1"/>
  <c r="Y224" i="1"/>
  <c r="Y226" i="1"/>
  <c r="Y228" i="1"/>
  <c r="Y230" i="1"/>
  <c r="Y232" i="1"/>
  <c r="Y234" i="1"/>
  <c r="X222" i="1"/>
  <c r="X227" i="1"/>
  <c r="X231" i="1"/>
  <c r="X235" i="1"/>
  <c r="Y237" i="1"/>
  <c r="Y240" i="1"/>
  <c r="X218" i="1"/>
  <c r="Y219" i="1"/>
  <c r="Y225" i="1"/>
  <c r="Y231" i="1"/>
  <c r="Y236" i="1"/>
  <c r="Y238" i="1"/>
  <c r="X229" i="1"/>
  <c r="Y233" i="1"/>
  <c r="Y235" i="1"/>
  <c r="X237" i="1"/>
  <c r="X239" i="1"/>
  <c r="X241" i="1"/>
  <c r="X426" i="1"/>
  <c r="X428" i="1"/>
  <c r="X430" i="1"/>
  <c r="X432" i="1"/>
  <c r="X434" i="1"/>
  <c r="X436" i="1"/>
  <c r="X438" i="1"/>
  <c r="X440" i="1"/>
  <c r="X442" i="1"/>
  <c r="X444" i="1"/>
  <c r="X446" i="1"/>
  <c r="X448" i="1"/>
  <c r="X450" i="1"/>
  <c r="X533" i="1"/>
  <c r="Y223" i="1"/>
  <c r="Y227" i="1"/>
  <c r="X233" i="1"/>
  <c r="Y242" i="1"/>
  <c r="X225" i="1"/>
  <c r="Y239" i="1"/>
  <c r="Y241" i="1"/>
  <c r="Y229" i="1"/>
  <c r="Y428" i="1"/>
  <c r="X431" i="1"/>
  <c r="X427" i="1"/>
  <c r="Y429" i="1"/>
  <c r="Y432" i="1"/>
  <c r="X435" i="1"/>
  <c r="Y437" i="1"/>
  <c r="Y440" i="1"/>
  <c r="X443" i="1"/>
  <c r="Y445" i="1"/>
  <c r="Y448" i="1"/>
  <c r="Y541" i="1"/>
  <c r="Y431" i="1"/>
  <c r="Y434" i="1"/>
  <c r="Y438" i="1"/>
  <c r="X441" i="1"/>
  <c r="Y443" i="1"/>
  <c r="Y446" i="1"/>
  <c r="X449" i="1"/>
  <c r="Y427" i="1"/>
  <c r="Y430" i="1"/>
  <c r="X433" i="1"/>
  <c r="Y436" i="1"/>
  <c r="X439" i="1"/>
  <c r="Y441" i="1"/>
  <c r="Y444" i="1"/>
  <c r="X447" i="1"/>
  <c r="Y449" i="1"/>
  <c r="X437" i="1"/>
  <c r="Y450" i="1"/>
  <c r="Y426" i="1"/>
  <c r="Y433" i="1"/>
  <c r="Y442" i="1"/>
  <c r="X541" i="1"/>
  <c r="X429" i="1"/>
  <c r="Y435" i="1"/>
  <c r="Y447" i="1"/>
  <c r="X549" i="1"/>
  <c r="X557" i="1"/>
  <c r="Y439" i="1"/>
  <c r="X445" i="1"/>
  <c r="AB192" i="1"/>
  <c r="AB194" i="1"/>
  <c r="AB196" i="1"/>
  <c r="AB198" i="1"/>
  <c r="AB200" i="1"/>
  <c r="AB202" i="1"/>
  <c r="AB204" i="1"/>
  <c r="AB206" i="1"/>
  <c r="AB208" i="1"/>
  <c r="AB210" i="1"/>
  <c r="AB212" i="1"/>
  <c r="AB214" i="1"/>
  <c r="AB216" i="1"/>
  <c r="AA193" i="1"/>
  <c r="AA195" i="1"/>
  <c r="AA197" i="1"/>
  <c r="AA199" i="1"/>
  <c r="AA201" i="1"/>
  <c r="AA203" i="1"/>
  <c r="AA205" i="1"/>
  <c r="AA207" i="1"/>
  <c r="AA209" i="1"/>
  <c r="AA211" i="1"/>
  <c r="AA213" i="1"/>
  <c r="AA215" i="1"/>
  <c r="AA194" i="1"/>
  <c r="AA198" i="1"/>
  <c r="AA202" i="1"/>
  <c r="AA206" i="1"/>
  <c r="AA210" i="1"/>
  <c r="AA214" i="1"/>
  <c r="AB195" i="1"/>
  <c r="AB199" i="1"/>
  <c r="AB203" i="1"/>
  <c r="AB207" i="1"/>
  <c r="AB211" i="1"/>
  <c r="AB215" i="1"/>
  <c r="AA196" i="1"/>
  <c r="AA204" i="1"/>
  <c r="AA212" i="1"/>
  <c r="AA192" i="1"/>
  <c r="AB193" i="1"/>
  <c r="AB205" i="1"/>
  <c r="AA208" i="1"/>
  <c r="AB209" i="1"/>
  <c r="AA400" i="1"/>
  <c r="AA402" i="1"/>
  <c r="AA404" i="1"/>
  <c r="AA406" i="1"/>
  <c r="AA408" i="1"/>
  <c r="AA410" i="1"/>
  <c r="AA412" i="1"/>
  <c r="AA414" i="1"/>
  <c r="AA416" i="1"/>
  <c r="AA418" i="1"/>
  <c r="AA420" i="1"/>
  <c r="AA422" i="1"/>
  <c r="AA424" i="1"/>
  <c r="AA532" i="1"/>
  <c r="AB197" i="1"/>
  <c r="AA216" i="1"/>
  <c r="AB201" i="1"/>
  <c r="AB213" i="1"/>
  <c r="AB402" i="1"/>
  <c r="AA405" i="1"/>
  <c r="AB407" i="1"/>
  <c r="AB410" i="1"/>
  <c r="AA413" i="1"/>
  <c r="AB415" i="1"/>
  <c r="AB418" i="1"/>
  <c r="AA421" i="1"/>
  <c r="AB423" i="1"/>
  <c r="AA200" i="1"/>
  <c r="AB400" i="1"/>
  <c r="AA401" i="1"/>
  <c r="AB403" i="1"/>
  <c r="AB406" i="1"/>
  <c r="AA409" i="1"/>
  <c r="AB411" i="1"/>
  <c r="AB414" i="1"/>
  <c r="AA417" i="1"/>
  <c r="AB419" i="1"/>
  <c r="AB422" i="1"/>
  <c r="AB409" i="1"/>
  <c r="AB412" i="1"/>
  <c r="AA415" i="1"/>
  <c r="AB540" i="1"/>
  <c r="AB405" i="1"/>
  <c r="AB408" i="1"/>
  <c r="AA411" i="1"/>
  <c r="AB421" i="1"/>
  <c r="AB424" i="1"/>
  <c r="AB404" i="1"/>
  <c r="AA407" i="1"/>
  <c r="AB417" i="1"/>
  <c r="AB420" i="1"/>
  <c r="AA423" i="1"/>
  <c r="AA403" i="1"/>
  <c r="AB413" i="1"/>
  <c r="AB532" i="1"/>
  <c r="AA540" i="1"/>
  <c r="AB401" i="1"/>
  <c r="AB416" i="1"/>
  <c r="AA548" i="1"/>
  <c r="AA556" i="1"/>
  <c r="AA419" i="1"/>
  <c r="U140" i="1"/>
  <c r="U142" i="1"/>
  <c r="U144" i="1"/>
  <c r="U146" i="1"/>
  <c r="U148" i="1"/>
  <c r="U141" i="1"/>
  <c r="V143" i="1"/>
  <c r="V146" i="1"/>
  <c r="U149" i="1"/>
  <c r="U151" i="1"/>
  <c r="U153" i="1"/>
  <c r="U155" i="1"/>
  <c r="U157" i="1"/>
  <c r="U159" i="1"/>
  <c r="V141" i="1"/>
  <c r="V144" i="1"/>
  <c r="U147" i="1"/>
  <c r="V149" i="1"/>
  <c r="V151" i="1"/>
  <c r="V153" i="1"/>
  <c r="V155" i="1"/>
  <c r="V157" i="1"/>
  <c r="V159" i="1"/>
  <c r="V161" i="1"/>
  <c r="V163" i="1"/>
  <c r="V145" i="1"/>
  <c r="V148" i="1"/>
  <c r="V152" i="1"/>
  <c r="V156" i="1"/>
  <c r="V160" i="1"/>
  <c r="U163" i="1"/>
  <c r="V147" i="1"/>
  <c r="U150" i="1"/>
  <c r="U154" i="1"/>
  <c r="U158" i="1"/>
  <c r="U161" i="1"/>
  <c r="U164" i="1"/>
  <c r="V142" i="1"/>
  <c r="U156" i="1"/>
  <c r="V162" i="1"/>
  <c r="V140" i="1"/>
  <c r="V150" i="1"/>
  <c r="V158" i="1"/>
  <c r="V164" i="1"/>
  <c r="U152" i="1"/>
  <c r="U349" i="1"/>
  <c r="U351" i="1"/>
  <c r="U353" i="1"/>
  <c r="U355" i="1"/>
  <c r="U357" i="1"/>
  <c r="U359" i="1"/>
  <c r="U361" i="1"/>
  <c r="U363" i="1"/>
  <c r="U365" i="1"/>
  <c r="U367" i="1"/>
  <c r="U369" i="1"/>
  <c r="U371" i="1"/>
  <c r="U145" i="1"/>
  <c r="U160" i="1"/>
  <c r="U143" i="1"/>
  <c r="V154" i="1"/>
  <c r="U350" i="1"/>
  <c r="V352" i="1"/>
  <c r="V355" i="1"/>
  <c r="U358" i="1"/>
  <c r="V360" i="1"/>
  <c r="V363" i="1"/>
  <c r="U366" i="1"/>
  <c r="V368" i="1"/>
  <c r="V371" i="1"/>
  <c r="U530" i="1"/>
  <c r="U162" i="1"/>
  <c r="V354" i="1"/>
  <c r="V356" i="1"/>
  <c r="V358" i="1"/>
  <c r="U360" i="1"/>
  <c r="U362" i="1"/>
  <c r="U364" i="1"/>
  <c r="U348" i="1"/>
  <c r="V357" i="1"/>
  <c r="V359" i="1"/>
  <c r="V361" i="1"/>
  <c r="V370" i="1"/>
  <c r="V372" i="1"/>
  <c r="V351" i="1"/>
  <c r="V364" i="1"/>
  <c r="U368" i="1"/>
  <c r="U372" i="1"/>
  <c r="U352" i="1"/>
  <c r="V353" i="1"/>
  <c r="U354" i="1"/>
  <c r="V365" i="1"/>
  <c r="V369" i="1"/>
  <c r="V348" i="1"/>
  <c r="V349" i="1"/>
  <c r="V350" i="1"/>
  <c r="V362" i="1"/>
  <c r="V366" i="1"/>
  <c r="U370" i="1"/>
  <c r="V538" i="1"/>
  <c r="V367" i="1"/>
  <c r="U538" i="1"/>
  <c r="V530" i="1"/>
  <c r="U546" i="1"/>
  <c r="U554" i="1"/>
  <c r="U356" i="1"/>
  <c r="X114" i="1"/>
  <c r="Y115" i="1"/>
  <c r="Y118" i="1"/>
  <c r="Y119" i="1"/>
  <c r="Y120" i="1"/>
  <c r="Y121" i="1"/>
  <c r="Y122" i="1"/>
  <c r="Y123" i="1"/>
  <c r="X117" i="1"/>
  <c r="X124" i="1"/>
  <c r="X125" i="1"/>
  <c r="X126" i="1"/>
  <c r="X128" i="1"/>
  <c r="X130" i="1"/>
  <c r="X132" i="1"/>
  <c r="X134" i="1"/>
  <c r="X136" i="1"/>
  <c r="X138" i="1"/>
  <c r="Y117" i="1"/>
  <c r="X118" i="1"/>
  <c r="X119" i="1"/>
  <c r="X120" i="1"/>
  <c r="X121" i="1"/>
  <c r="X122" i="1"/>
  <c r="X123" i="1"/>
  <c r="Y128" i="1"/>
  <c r="X131" i="1"/>
  <c r="Y133" i="1"/>
  <c r="X115" i="1"/>
  <c r="Y124" i="1"/>
  <c r="Y125" i="1"/>
  <c r="Y126" i="1"/>
  <c r="X129" i="1"/>
  <c r="Y131" i="1"/>
  <c r="Y129" i="1"/>
  <c r="Y132" i="1"/>
  <c r="Y136" i="1"/>
  <c r="X137" i="1"/>
  <c r="Y130" i="1"/>
  <c r="Y135" i="1"/>
  <c r="Y138" i="1"/>
  <c r="X116" i="1"/>
  <c r="X127" i="1"/>
  <c r="Y134" i="1"/>
  <c r="Y137" i="1"/>
  <c r="X135" i="1"/>
  <c r="Y114" i="1"/>
  <c r="Y127" i="1"/>
  <c r="X335" i="1"/>
  <c r="X337" i="1"/>
  <c r="X339" i="1"/>
  <c r="X341" i="1"/>
  <c r="X343" i="1"/>
  <c r="X345" i="1"/>
  <c r="Y116" i="1"/>
  <c r="Y322" i="1"/>
  <c r="X325" i="1"/>
  <c r="Y326" i="1"/>
  <c r="X329" i="1"/>
  <c r="Y330" i="1"/>
  <c r="X333" i="1"/>
  <c r="Y334" i="1"/>
  <c r="Y337" i="1"/>
  <c r="X340" i="1"/>
  <c r="Y342" i="1"/>
  <c r="Y345" i="1"/>
  <c r="X529" i="1"/>
  <c r="X328" i="1"/>
  <c r="X331" i="1"/>
  <c r="Y332" i="1"/>
  <c r="Y333" i="1"/>
  <c r="X334" i="1"/>
  <c r="X336" i="1"/>
  <c r="X338" i="1"/>
  <c r="X323" i="1"/>
  <c r="Y324" i="1"/>
  <c r="Y325" i="1"/>
  <c r="X326" i="1"/>
  <c r="Y327" i="1"/>
  <c r="Y335" i="1"/>
  <c r="Y344" i="1"/>
  <c r="Y346" i="1"/>
  <c r="X324" i="1"/>
  <c r="Y328" i="1"/>
  <c r="Y336" i="1"/>
  <c r="Y340" i="1"/>
  <c r="Y323" i="1"/>
  <c r="X330" i="1"/>
  <c r="Y338" i="1"/>
  <c r="X342" i="1"/>
  <c r="X346" i="1"/>
  <c r="X327" i="1"/>
  <c r="Y339" i="1"/>
  <c r="Y329" i="1"/>
  <c r="Y341" i="1"/>
  <c r="X322" i="1"/>
  <c r="Y331" i="1"/>
  <c r="X332" i="1"/>
  <c r="X344" i="1"/>
  <c r="Y537" i="1"/>
  <c r="X133" i="1"/>
  <c r="Y343" i="1"/>
  <c r="Y529" i="1"/>
  <c r="X537" i="1"/>
  <c r="X545" i="1"/>
  <c r="X553" i="1"/>
  <c r="AB556" i="1"/>
  <c r="V554" i="1"/>
  <c r="P552" i="1"/>
  <c r="S551" i="1"/>
  <c r="V550" i="1"/>
  <c r="Y549" i="1"/>
  <c r="AB548" i="1"/>
  <c r="Y545" i="1"/>
  <c r="Y533" i="1"/>
  <c r="AA297" i="1"/>
  <c r="AA299" i="1"/>
  <c r="AA301" i="1"/>
  <c r="AA303" i="1"/>
  <c r="AA305" i="1"/>
  <c r="AA307" i="1"/>
  <c r="AA309" i="1"/>
  <c r="AA311" i="1"/>
  <c r="AA313" i="1"/>
  <c r="AA315" i="1"/>
  <c r="AA317" i="1"/>
  <c r="AA319" i="1"/>
  <c r="AB296" i="1"/>
  <c r="AB299" i="1"/>
  <c r="AA302" i="1"/>
  <c r="AB304" i="1"/>
  <c r="AB307" i="1"/>
  <c r="AA310" i="1"/>
  <c r="AB312" i="1"/>
  <c r="AB315" i="1"/>
  <c r="AA318" i="1"/>
  <c r="AB320" i="1"/>
  <c r="AA504" i="1"/>
  <c r="AA506" i="1"/>
  <c r="AA508" i="1"/>
  <c r="AA510" i="1"/>
  <c r="AA512" i="1"/>
  <c r="AA514" i="1"/>
  <c r="AA516" i="1"/>
  <c r="AA518" i="1"/>
  <c r="AA520" i="1"/>
  <c r="AA522" i="1"/>
  <c r="AA524" i="1"/>
  <c r="AA526" i="1"/>
  <c r="AA528" i="1"/>
  <c r="AB298" i="1"/>
  <c r="AB300" i="1"/>
  <c r="AB302" i="1"/>
  <c r="AA304" i="1"/>
  <c r="AA306" i="1"/>
  <c r="AA308" i="1"/>
  <c r="AB317" i="1"/>
  <c r="AB319" i="1"/>
  <c r="AB301" i="1"/>
  <c r="AB303" i="1"/>
  <c r="AB305" i="1"/>
  <c r="AB314" i="1"/>
  <c r="AB316" i="1"/>
  <c r="AB318" i="1"/>
  <c r="AA320" i="1"/>
  <c r="AB306" i="1"/>
  <c r="AB310" i="1"/>
  <c r="AA314" i="1"/>
  <c r="AA296" i="1"/>
  <c r="AA300" i="1"/>
  <c r="AB297" i="1"/>
  <c r="AB308" i="1"/>
  <c r="AA312" i="1"/>
  <c r="AA316" i="1"/>
  <c r="AB309" i="1"/>
  <c r="AB311" i="1"/>
  <c r="AB313" i="1"/>
  <c r="AB506" i="1"/>
  <c r="AA509" i="1"/>
  <c r="AB511" i="1"/>
  <c r="AB514" i="1"/>
  <c r="AA517" i="1"/>
  <c r="AB519" i="1"/>
  <c r="AB522" i="1"/>
  <c r="AA525" i="1"/>
  <c r="AB527" i="1"/>
  <c r="AB536" i="1"/>
  <c r="AB544" i="1"/>
  <c r="AA298" i="1"/>
  <c r="AB504" i="1"/>
  <c r="AA507" i="1"/>
  <c r="AB509" i="1"/>
  <c r="AA505" i="1"/>
  <c r="AB507" i="1"/>
  <c r="AB510" i="1"/>
  <c r="AA513" i="1"/>
  <c r="AB515" i="1"/>
  <c r="AB518" i="1"/>
  <c r="AA521" i="1"/>
  <c r="AB523" i="1"/>
  <c r="AB526" i="1"/>
  <c r="AB505" i="1"/>
  <c r="AB517" i="1"/>
  <c r="AB520" i="1"/>
  <c r="AA523" i="1"/>
  <c r="AB513" i="1"/>
  <c r="AB516" i="1"/>
  <c r="AA519" i="1"/>
  <c r="AA536" i="1"/>
  <c r="AA544" i="1"/>
  <c r="AB508" i="1"/>
  <c r="AB512" i="1"/>
  <c r="AA515" i="1"/>
  <c r="AB525" i="1"/>
  <c r="AB528" i="1"/>
  <c r="AA552" i="1"/>
  <c r="AA560" i="1"/>
  <c r="AA511" i="1"/>
  <c r="AB521" i="1"/>
  <c r="AB524" i="1"/>
  <c r="AA527" i="1"/>
  <c r="C297" i="1"/>
  <c r="C299" i="1"/>
  <c r="C301" i="1"/>
  <c r="C303" i="1"/>
  <c r="C305" i="1"/>
  <c r="C307" i="1"/>
  <c r="C309" i="1"/>
  <c r="C311" i="1"/>
  <c r="C313" i="1"/>
  <c r="C315" i="1"/>
  <c r="C317" i="1"/>
  <c r="C319" i="1"/>
  <c r="D296" i="1"/>
  <c r="D299" i="1"/>
  <c r="C302" i="1"/>
  <c r="D304" i="1"/>
  <c r="D307" i="1"/>
  <c r="C310" i="1"/>
  <c r="D312" i="1"/>
  <c r="D315" i="1"/>
  <c r="C318" i="1"/>
  <c r="D320" i="1"/>
  <c r="C504" i="1"/>
  <c r="C506" i="1"/>
  <c r="C508" i="1"/>
  <c r="C510" i="1"/>
  <c r="C512" i="1"/>
  <c r="C514" i="1"/>
  <c r="C516" i="1"/>
  <c r="C518" i="1"/>
  <c r="C520" i="1"/>
  <c r="C522" i="1"/>
  <c r="C524" i="1"/>
  <c r="C526" i="1"/>
  <c r="C528" i="1"/>
  <c r="D297" i="1"/>
  <c r="D306" i="1"/>
  <c r="D308" i="1"/>
  <c r="D310" i="1"/>
  <c r="C312" i="1"/>
  <c r="C314" i="1"/>
  <c r="C316" i="1"/>
  <c r="C296" i="1"/>
  <c r="C298" i="1"/>
  <c r="C300" i="1"/>
  <c r="D309" i="1"/>
  <c r="D311" i="1"/>
  <c r="D313" i="1"/>
  <c r="D303" i="1"/>
  <c r="D314" i="1"/>
  <c r="D318" i="1"/>
  <c r="D300" i="1"/>
  <c r="C304" i="1"/>
  <c r="D301" i="1"/>
  <c r="D305" i="1"/>
  <c r="D316" i="1"/>
  <c r="C320" i="1"/>
  <c r="D298" i="1"/>
  <c r="C306" i="1"/>
  <c r="D317" i="1"/>
  <c r="D319" i="1"/>
  <c r="D506" i="1"/>
  <c r="C509" i="1"/>
  <c r="D511" i="1"/>
  <c r="D514" i="1"/>
  <c r="C517" i="1"/>
  <c r="D519" i="1"/>
  <c r="D522" i="1"/>
  <c r="C525" i="1"/>
  <c r="D527" i="1"/>
  <c r="D536" i="1"/>
  <c r="D544" i="1"/>
  <c r="C308" i="1"/>
  <c r="D504" i="1"/>
  <c r="C507" i="1"/>
  <c r="D509" i="1"/>
  <c r="D302" i="1"/>
  <c r="C505" i="1"/>
  <c r="D507" i="1"/>
  <c r="D510" i="1"/>
  <c r="C513" i="1"/>
  <c r="D515" i="1"/>
  <c r="D518" i="1"/>
  <c r="C521" i="1"/>
  <c r="D523" i="1"/>
  <c r="D526" i="1"/>
  <c r="D512" i="1"/>
  <c r="C515" i="1"/>
  <c r="D525" i="1"/>
  <c r="D528" i="1"/>
  <c r="D505" i="1"/>
  <c r="C511" i="1"/>
  <c r="D521" i="1"/>
  <c r="D524" i="1"/>
  <c r="C527" i="1"/>
  <c r="C536" i="1"/>
  <c r="C544" i="1"/>
  <c r="D517" i="1"/>
  <c r="D520" i="1"/>
  <c r="C523" i="1"/>
  <c r="C552" i="1"/>
  <c r="C560" i="1"/>
  <c r="D508" i="1"/>
  <c r="D513" i="1"/>
  <c r="D516" i="1"/>
  <c r="C519" i="1"/>
  <c r="F271" i="1"/>
  <c r="F273" i="1"/>
  <c r="F275" i="1"/>
  <c r="F277" i="1"/>
  <c r="F279" i="1"/>
  <c r="F281" i="1"/>
  <c r="F283" i="1"/>
  <c r="F285" i="1"/>
  <c r="F287" i="1"/>
  <c r="F289" i="1"/>
  <c r="F291" i="1"/>
  <c r="F293" i="1"/>
  <c r="G270" i="1"/>
  <c r="G273" i="1"/>
  <c r="F276" i="1"/>
  <c r="G278" i="1"/>
  <c r="G281" i="1"/>
  <c r="F284" i="1"/>
  <c r="G286" i="1"/>
  <c r="G289" i="1"/>
  <c r="F292" i="1"/>
  <c r="G294" i="1"/>
  <c r="F478" i="1"/>
  <c r="F480" i="1"/>
  <c r="F482" i="1"/>
  <c r="F484" i="1"/>
  <c r="F486" i="1"/>
  <c r="F488" i="1"/>
  <c r="F490" i="1"/>
  <c r="F492" i="1"/>
  <c r="F494" i="1"/>
  <c r="F496" i="1"/>
  <c r="F498" i="1"/>
  <c r="F500" i="1"/>
  <c r="F502" i="1"/>
  <c r="F270" i="1"/>
  <c r="G271" i="1"/>
  <c r="G280" i="1"/>
  <c r="G282" i="1"/>
  <c r="G284" i="1"/>
  <c r="F286" i="1"/>
  <c r="F288" i="1"/>
  <c r="F290" i="1"/>
  <c r="F272" i="1"/>
  <c r="F274" i="1"/>
  <c r="G283" i="1"/>
  <c r="G285" i="1"/>
  <c r="G287" i="1"/>
  <c r="G275" i="1"/>
  <c r="G279" i="1"/>
  <c r="G290" i="1"/>
  <c r="F294" i="1"/>
  <c r="G272" i="1"/>
  <c r="G276" i="1"/>
  <c r="F280" i="1"/>
  <c r="G291" i="1"/>
  <c r="G277" i="1"/>
  <c r="G288" i="1"/>
  <c r="G292" i="1"/>
  <c r="G274" i="1"/>
  <c r="G293" i="1"/>
  <c r="F278" i="1"/>
  <c r="F282" i="1"/>
  <c r="G480" i="1"/>
  <c r="F483" i="1"/>
  <c r="G485" i="1"/>
  <c r="G488" i="1"/>
  <c r="F491" i="1"/>
  <c r="G493" i="1"/>
  <c r="G496" i="1"/>
  <c r="F499" i="1"/>
  <c r="G501" i="1"/>
  <c r="G535" i="1"/>
  <c r="G543" i="1"/>
  <c r="G478" i="1"/>
  <c r="F481" i="1"/>
  <c r="G483" i="1"/>
  <c r="G486" i="1"/>
  <c r="F489" i="1"/>
  <c r="G491" i="1"/>
  <c r="G494" i="1"/>
  <c r="F497" i="1"/>
  <c r="G499" i="1"/>
  <c r="G502" i="1"/>
  <c r="F479" i="1"/>
  <c r="G481" i="1"/>
  <c r="G484" i="1"/>
  <c r="F487" i="1"/>
  <c r="G489" i="1"/>
  <c r="G492" i="1"/>
  <c r="F495" i="1"/>
  <c r="G497" i="1"/>
  <c r="G500" i="1"/>
  <c r="G487" i="1"/>
  <c r="F493" i="1"/>
  <c r="G479" i="1"/>
  <c r="F485" i="1"/>
  <c r="G498" i="1"/>
  <c r="F535" i="1"/>
  <c r="F543" i="1"/>
  <c r="G490" i="1"/>
  <c r="F551" i="1"/>
  <c r="F559" i="1"/>
  <c r="G482" i="1"/>
  <c r="G495" i="1"/>
  <c r="F501" i="1"/>
  <c r="I244" i="1"/>
  <c r="I246" i="1"/>
  <c r="I248" i="1"/>
  <c r="I250" i="1"/>
  <c r="I252" i="1"/>
  <c r="I254" i="1"/>
  <c r="I256" i="1"/>
  <c r="I258" i="1"/>
  <c r="I260" i="1"/>
  <c r="I262" i="1"/>
  <c r="I264" i="1"/>
  <c r="J246" i="1"/>
  <c r="I249" i="1"/>
  <c r="J251" i="1"/>
  <c r="J254" i="1"/>
  <c r="I257" i="1"/>
  <c r="J259" i="1"/>
  <c r="J262" i="1"/>
  <c r="I265" i="1"/>
  <c r="I267" i="1"/>
  <c r="J245" i="1"/>
  <c r="J247" i="1"/>
  <c r="J249" i="1"/>
  <c r="I251" i="1"/>
  <c r="I253" i="1"/>
  <c r="I255" i="1"/>
  <c r="J264" i="1"/>
  <c r="J267" i="1"/>
  <c r="J248" i="1"/>
  <c r="J250" i="1"/>
  <c r="J252" i="1"/>
  <c r="J261" i="1"/>
  <c r="J263" i="1"/>
  <c r="I266" i="1"/>
  <c r="J268" i="1"/>
  <c r="I452" i="1"/>
  <c r="I454" i="1"/>
  <c r="I456" i="1"/>
  <c r="I458" i="1"/>
  <c r="I460" i="1"/>
  <c r="I462" i="1"/>
  <c r="I464" i="1"/>
  <c r="I466" i="1"/>
  <c r="I468" i="1"/>
  <c r="I470" i="1"/>
  <c r="I472" i="1"/>
  <c r="I474" i="1"/>
  <c r="I476" i="1"/>
  <c r="I534" i="1"/>
  <c r="J253" i="1"/>
  <c r="J257" i="1"/>
  <c r="I261" i="1"/>
  <c r="J244" i="1"/>
  <c r="J255" i="1"/>
  <c r="I259" i="1"/>
  <c r="I263" i="1"/>
  <c r="J265" i="1"/>
  <c r="I268" i="1"/>
  <c r="I247" i="1"/>
  <c r="J258" i="1"/>
  <c r="J260" i="1"/>
  <c r="J266" i="1"/>
  <c r="I245" i="1"/>
  <c r="J454" i="1"/>
  <c r="I457" i="1"/>
  <c r="J459" i="1"/>
  <c r="J462" i="1"/>
  <c r="I465" i="1"/>
  <c r="J467" i="1"/>
  <c r="J470" i="1"/>
  <c r="I473" i="1"/>
  <c r="J475" i="1"/>
  <c r="J542" i="1"/>
  <c r="J452" i="1"/>
  <c r="I455" i="1"/>
  <c r="J457" i="1"/>
  <c r="J460" i="1"/>
  <c r="I463" i="1"/>
  <c r="J465" i="1"/>
  <c r="J468" i="1"/>
  <c r="I471" i="1"/>
  <c r="J473" i="1"/>
  <c r="J476" i="1"/>
  <c r="J256" i="1"/>
  <c r="I453" i="1"/>
  <c r="J455" i="1"/>
  <c r="J458" i="1"/>
  <c r="I461" i="1"/>
  <c r="J463" i="1"/>
  <c r="J466" i="1"/>
  <c r="I469" i="1"/>
  <c r="J471" i="1"/>
  <c r="J474" i="1"/>
  <c r="J461" i="1"/>
  <c r="I467" i="1"/>
  <c r="J453" i="1"/>
  <c r="I459" i="1"/>
  <c r="J472" i="1"/>
  <c r="I542" i="1"/>
  <c r="J464" i="1"/>
  <c r="J534" i="1"/>
  <c r="I550" i="1"/>
  <c r="I558" i="1"/>
  <c r="J456" i="1"/>
  <c r="J469" i="1"/>
  <c r="I475" i="1"/>
  <c r="P192" i="1"/>
  <c r="P194" i="1"/>
  <c r="P196" i="1"/>
  <c r="P198" i="1"/>
  <c r="P200" i="1"/>
  <c r="P202" i="1"/>
  <c r="P204" i="1"/>
  <c r="P206" i="1"/>
  <c r="P208" i="1"/>
  <c r="P210" i="1"/>
  <c r="P212" i="1"/>
  <c r="P214" i="1"/>
  <c r="P216" i="1"/>
  <c r="O193" i="1"/>
  <c r="O195" i="1"/>
  <c r="O197" i="1"/>
  <c r="O199" i="1"/>
  <c r="O201" i="1"/>
  <c r="O203" i="1"/>
  <c r="O205" i="1"/>
  <c r="O207" i="1"/>
  <c r="O209" i="1"/>
  <c r="O211" i="1"/>
  <c r="O213" i="1"/>
  <c r="O215" i="1"/>
  <c r="O194" i="1"/>
  <c r="O198" i="1"/>
  <c r="O202" i="1"/>
  <c r="O206" i="1"/>
  <c r="O210" i="1"/>
  <c r="O214" i="1"/>
  <c r="P195" i="1"/>
  <c r="P199" i="1"/>
  <c r="P203" i="1"/>
  <c r="P207" i="1"/>
  <c r="P211" i="1"/>
  <c r="P215" i="1"/>
  <c r="O192" i="1"/>
  <c r="O200" i="1"/>
  <c r="O208" i="1"/>
  <c r="O216" i="1"/>
  <c r="O196" i="1"/>
  <c r="P197" i="1"/>
  <c r="P209" i="1"/>
  <c r="P193" i="1"/>
  <c r="O212" i="1"/>
  <c r="P213" i="1"/>
  <c r="O400" i="1"/>
  <c r="O402" i="1"/>
  <c r="O404" i="1"/>
  <c r="O406" i="1"/>
  <c r="O408" i="1"/>
  <c r="O410" i="1"/>
  <c r="O412" i="1"/>
  <c r="O414" i="1"/>
  <c r="O416" i="1"/>
  <c r="O418" i="1"/>
  <c r="O420" i="1"/>
  <c r="O422" i="1"/>
  <c r="O424" i="1"/>
  <c r="O532" i="1"/>
  <c r="P201" i="1"/>
  <c r="O204" i="1"/>
  <c r="O401" i="1"/>
  <c r="P403" i="1"/>
  <c r="P406" i="1"/>
  <c r="O409" i="1"/>
  <c r="P411" i="1"/>
  <c r="P414" i="1"/>
  <c r="O417" i="1"/>
  <c r="P419" i="1"/>
  <c r="P422" i="1"/>
  <c r="P401" i="1"/>
  <c r="P205" i="1"/>
  <c r="P402" i="1"/>
  <c r="O405" i="1"/>
  <c r="P407" i="1"/>
  <c r="P410" i="1"/>
  <c r="O413" i="1"/>
  <c r="P415" i="1"/>
  <c r="P418" i="1"/>
  <c r="O421" i="1"/>
  <c r="P423" i="1"/>
  <c r="O403" i="1"/>
  <c r="P413" i="1"/>
  <c r="P416" i="1"/>
  <c r="O419" i="1"/>
  <c r="P540" i="1"/>
  <c r="P409" i="1"/>
  <c r="P412" i="1"/>
  <c r="O415" i="1"/>
  <c r="P400" i="1"/>
  <c r="P405" i="1"/>
  <c r="P408" i="1"/>
  <c r="O411" i="1"/>
  <c r="P421" i="1"/>
  <c r="P424" i="1"/>
  <c r="P420" i="1"/>
  <c r="P404" i="1"/>
  <c r="O423" i="1"/>
  <c r="O540" i="1"/>
  <c r="O407" i="1"/>
  <c r="P532" i="1"/>
  <c r="O548" i="1"/>
  <c r="O556" i="1"/>
  <c r="P417" i="1"/>
  <c r="S167" i="1"/>
  <c r="R168" i="1"/>
  <c r="S170" i="1"/>
  <c r="S172" i="1"/>
  <c r="S174" i="1"/>
  <c r="S176" i="1"/>
  <c r="S178" i="1"/>
  <c r="S180" i="1"/>
  <c r="S182" i="1"/>
  <c r="S184" i="1"/>
  <c r="S186" i="1"/>
  <c r="S188" i="1"/>
  <c r="S190" i="1"/>
  <c r="R166" i="1"/>
  <c r="S168" i="1"/>
  <c r="R169" i="1"/>
  <c r="R171" i="1"/>
  <c r="R173" i="1"/>
  <c r="R175" i="1"/>
  <c r="R177" i="1"/>
  <c r="R179" i="1"/>
  <c r="R181" i="1"/>
  <c r="R183" i="1"/>
  <c r="R185" i="1"/>
  <c r="R187" i="1"/>
  <c r="R189" i="1"/>
  <c r="R172" i="1"/>
  <c r="R176" i="1"/>
  <c r="R180" i="1"/>
  <c r="R184" i="1"/>
  <c r="R188" i="1"/>
  <c r="S169" i="1"/>
  <c r="S173" i="1"/>
  <c r="S177" i="1"/>
  <c r="S181" i="1"/>
  <c r="S185" i="1"/>
  <c r="S189" i="1"/>
  <c r="R174" i="1"/>
  <c r="R182" i="1"/>
  <c r="R190" i="1"/>
  <c r="R170" i="1"/>
  <c r="S171" i="1"/>
  <c r="S183" i="1"/>
  <c r="R186" i="1"/>
  <c r="S187" i="1"/>
  <c r="R376" i="1"/>
  <c r="R378" i="1"/>
  <c r="R380" i="1"/>
  <c r="R382" i="1"/>
  <c r="R384" i="1"/>
  <c r="R386" i="1"/>
  <c r="R388" i="1"/>
  <c r="R390" i="1"/>
  <c r="R392" i="1"/>
  <c r="R394" i="1"/>
  <c r="R396" i="1"/>
  <c r="R398" i="1"/>
  <c r="R531" i="1"/>
  <c r="S166" i="1"/>
  <c r="S375" i="1"/>
  <c r="S175" i="1"/>
  <c r="R374" i="1"/>
  <c r="R167" i="1"/>
  <c r="R178" i="1"/>
  <c r="S179" i="1"/>
  <c r="S377" i="1"/>
  <c r="S380" i="1"/>
  <c r="R383" i="1"/>
  <c r="S385" i="1"/>
  <c r="S388" i="1"/>
  <c r="R391" i="1"/>
  <c r="S393" i="1"/>
  <c r="S396" i="1"/>
  <c r="S374" i="1"/>
  <c r="S378" i="1"/>
  <c r="R381" i="1"/>
  <c r="S383" i="1"/>
  <c r="S386" i="1"/>
  <c r="R389" i="1"/>
  <c r="S391" i="1"/>
  <c r="S394" i="1"/>
  <c r="R397" i="1"/>
  <c r="S376" i="1"/>
  <c r="R379" i="1"/>
  <c r="S381" i="1"/>
  <c r="S384" i="1"/>
  <c r="R387" i="1"/>
  <c r="S389" i="1"/>
  <c r="S392" i="1"/>
  <c r="R395" i="1"/>
  <c r="S397" i="1"/>
  <c r="R377" i="1"/>
  <c r="S390" i="1"/>
  <c r="S539" i="1"/>
  <c r="S382" i="1"/>
  <c r="S395" i="1"/>
  <c r="R375" i="1"/>
  <c r="S387" i="1"/>
  <c r="R393" i="1"/>
  <c r="S379" i="1"/>
  <c r="S398" i="1"/>
  <c r="S531" i="1"/>
  <c r="R385" i="1"/>
  <c r="R539" i="1"/>
  <c r="R547" i="1"/>
  <c r="R555" i="1"/>
  <c r="P560" i="1"/>
  <c r="S559" i="1"/>
  <c r="G559" i="1"/>
  <c r="V558" i="1"/>
  <c r="Y557" i="1"/>
  <c r="P556" i="1"/>
  <c r="S555" i="1"/>
  <c r="Y553" i="1"/>
  <c r="AB552" i="1"/>
  <c r="D552" i="1"/>
  <c r="G551" i="1"/>
  <c r="J550" i="1"/>
  <c r="P548" i="1"/>
  <c r="S547" i="1"/>
  <c r="V546" i="1"/>
  <c r="X296" i="1"/>
  <c r="X298" i="1"/>
  <c r="X300" i="1"/>
  <c r="X302" i="1"/>
  <c r="X304" i="1"/>
  <c r="X306" i="1"/>
  <c r="X308" i="1"/>
  <c r="X310" i="1"/>
  <c r="X312" i="1"/>
  <c r="X314" i="1"/>
  <c r="X316" i="1"/>
  <c r="X318" i="1"/>
  <c r="X320" i="1"/>
  <c r="Y297" i="1"/>
  <c r="Y300" i="1"/>
  <c r="X303" i="1"/>
  <c r="Y305" i="1"/>
  <c r="Y308" i="1"/>
  <c r="X311" i="1"/>
  <c r="Y313" i="1"/>
  <c r="Y316" i="1"/>
  <c r="X319" i="1"/>
  <c r="X505" i="1"/>
  <c r="X507" i="1"/>
  <c r="X509" i="1"/>
  <c r="X511" i="1"/>
  <c r="X513" i="1"/>
  <c r="X515" i="1"/>
  <c r="X517" i="1"/>
  <c r="X519" i="1"/>
  <c r="X521" i="1"/>
  <c r="X523" i="1"/>
  <c r="X525" i="1"/>
  <c r="X527" i="1"/>
  <c r="X297" i="1"/>
  <c r="X299" i="1"/>
  <c r="X301" i="1"/>
  <c r="Y310" i="1"/>
  <c r="Y312" i="1"/>
  <c r="Y314" i="1"/>
  <c r="Y296" i="1"/>
  <c r="Y298" i="1"/>
  <c r="Y307" i="1"/>
  <c r="Y309" i="1"/>
  <c r="Y311" i="1"/>
  <c r="X313" i="1"/>
  <c r="X315" i="1"/>
  <c r="X317" i="1"/>
  <c r="Y299" i="1"/>
  <c r="Y303" i="1"/>
  <c r="X307" i="1"/>
  <c r="Y318" i="1"/>
  <c r="Y301" i="1"/>
  <c r="X305" i="1"/>
  <c r="X309" i="1"/>
  <c r="Y320" i="1"/>
  <c r="Y302" i="1"/>
  <c r="Y306" i="1"/>
  <c r="Y317" i="1"/>
  <c r="Y319" i="1"/>
  <c r="Y504" i="1"/>
  <c r="Y507" i="1"/>
  <c r="X510" i="1"/>
  <c r="Y512" i="1"/>
  <c r="Y515" i="1"/>
  <c r="X518" i="1"/>
  <c r="Y520" i="1"/>
  <c r="Y523" i="1"/>
  <c r="X526" i="1"/>
  <c r="Y528" i="1"/>
  <c r="Y505" i="1"/>
  <c r="X508" i="1"/>
  <c r="Y510" i="1"/>
  <c r="Y315" i="1"/>
  <c r="X506" i="1"/>
  <c r="Y508" i="1"/>
  <c r="Y511" i="1"/>
  <c r="X514" i="1"/>
  <c r="Y516" i="1"/>
  <c r="Y519" i="1"/>
  <c r="X522" i="1"/>
  <c r="Y524" i="1"/>
  <c r="Y527" i="1"/>
  <c r="Y536" i="1"/>
  <c r="Y544" i="1"/>
  <c r="L296" i="1"/>
  <c r="L298" i="1"/>
  <c r="L300" i="1"/>
  <c r="L302" i="1"/>
  <c r="L304" i="1"/>
  <c r="L306" i="1"/>
  <c r="L308" i="1"/>
  <c r="L310" i="1"/>
  <c r="L312" i="1"/>
  <c r="L314" i="1"/>
  <c r="L316" i="1"/>
  <c r="L318" i="1"/>
  <c r="L320" i="1"/>
  <c r="M296" i="1"/>
  <c r="L299" i="1"/>
  <c r="M301" i="1"/>
  <c r="M304" i="1"/>
  <c r="L307" i="1"/>
  <c r="M309" i="1"/>
  <c r="M312" i="1"/>
  <c r="L315" i="1"/>
  <c r="M317" i="1"/>
  <c r="M320" i="1"/>
  <c r="L505" i="1"/>
  <c r="L507" i="1"/>
  <c r="L509" i="1"/>
  <c r="L511" i="1"/>
  <c r="L513" i="1"/>
  <c r="L515" i="1"/>
  <c r="L517" i="1"/>
  <c r="L519" i="1"/>
  <c r="L521" i="1"/>
  <c r="L523" i="1"/>
  <c r="L525" i="1"/>
  <c r="L527" i="1"/>
  <c r="M297" i="1"/>
  <c r="M299" i="1"/>
  <c r="L301" i="1"/>
  <c r="L303" i="1"/>
  <c r="L305" i="1"/>
  <c r="M314" i="1"/>
  <c r="M316" i="1"/>
  <c r="M318" i="1"/>
  <c r="M298" i="1"/>
  <c r="M300" i="1"/>
  <c r="M302" i="1"/>
  <c r="M311" i="1"/>
  <c r="M313" i="1"/>
  <c r="M315" i="1"/>
  <c r="L317" i="1"/>
  <c r="L319" i="1"/>
  <c r="M305" i="1"/>
  <c r="L309" i="1"/>
  <c r="L313" i="1"/>
  <c r="M303" i="1"/>
  <c r="M307" i="1"/>
  <c r="L311" i="1"/>
  <c r="M308" i="1"/>
  <c r="M319" i="1"/>
  <c r="L297" i="1"/>
  <c r="M310" i="1"/>
  <c r="M306" i="1"/>
  <c r="L506" i="1"/>
  <c r="M508" i="1"/>
  <c r="M511" i="1"/>
  <c r="L514" i="1"/>
  <c r="M516" i="1"/>
  <c r="M519" i="1"/>
  <c r="L522" i="1"/>
  <c r="M524" i="1"/>
  <c r="M527" i="1"/>
  <c r="L504" i="1"/>
  <c r="M506" i="1"/>
  <c r="M509" i="1"/>
  <c r="M504" i="1"/>
  <c r="M507" i="1"/>
  <c r="L510" i="1"/>
  <c r="M512" i="1"/>
  <c r="M515" i="1"/>
  <c r="L518" i="1"/>
  <c r="M520" i="1"/>
  <c r="M523" i="1"/>
  <c r="L526" i="1"/>
  <c r="M528" i="1"/>
  <c r="M536" i="1"/>
  <c r="M544" i="1"/>
  <c r="AA270" i="1"/>
  <c r="AA272" i="1"/>
  <c r="AA274" i="1"/>
  <c r="AA276" i="1"/>
  <c r="AA278" i="1"/>
  <c r="AA280" i="1"/>
  <c r="AA282" i="1"/>
  <c r="AA284" i="1"/>
  <c r="AA286" i="1"/>
  <c r="AA288" i="1"/>
  <c r="AA290" i="1"/>
  <c r="AA292" i="1"/>
  <c r="AA294" i="1"/>
  <c r="AB271" i="1"/>
  <c r="AB274" i="1"/>
  <c r="AA277" i="1"/>
  <c r="AB279" i="1"/>
  <c r="AB282" i="1"/>
  <c r="AA285" i="1"/>
  <c r="AB287" i="1"/>
  <c r="AB290" i="1"/>
  <c r="AA293" i="1"/>
  <c r="AA479" i="1"/>
  <c r="AA481" i="1"/>
  <c r="AA483" i="1"/>
  <c r="AA485" i="1"/>
  <c r="AA487" i="1"/>
  <c r="AA489" i="1"/>
  <c r="AA491" i="1"/>
  <c r="AA493" i="1"/>
  <c r="AA495" i="1"/>
  <c r="AA497" i="1"/>
  <c r="AA499" i="1"/>
  <c r="AA501" i="1"/>
  <c r="AA271" i="1"/>
  <c r="AA273" i="1"/>
  <c r="AA275" i="1"/>
  <c r="AB284" i="1"/>
  <c r="AB286" i="1"/>
  <c r="AB288" i="1"/>
  <c r="AB270" i="1"/>
  <c r="AB272" i="1"/>
  <c r="AB281" i="1"/>
  <c r="AB283" i="1"/>
  <c r="AB285" i="1"/>
  <c r="AA287" i="1"/>
  <c r="AA289" i="1"/>
  <c r="AA291" i="1"/>
  <c r="AB275" i="1"/>
  <c r="AA279" i="1"/>
  <c r="AA283" i="1"/>
  <c r="AB294" i="1"/>
  <c r="AB276" i="1"/>
  <c r="AB280" i="1"/>
  <c r="AB291" i="1"/>
  <c r="AB273" i="1"/>
  <c r="AB277" i="1"/>
  <c r="AA281" i="1"/>
  <c r="AB292" i="1"/>
  <c r="AB289" i="1"/>
  <c r="AB293" i="1"/>
  <c r="AB478" i="1"/>
  <c r="AB481" i="1"/>
  <c r="AA484" i="1"/>
  <c r="AB486" i="1"/>
  <c r="AB489" i="1"/>
  <c r="AA492" i="1"/>
  <c r="AB494" i="1"/>
  <c r="AB497" i="1"/>
  <c r="AA500" i="1"/>
  <c r="AB502" i="1"/>
  <c r="AB479" i="1"/>
  <c r="AA482" i="1"/>
  <c r="AB484" i="1"/>
  <c r="AB487" i="1"/>
  <c r="AA490" i="1"/>
  <c r="AB492" i="1"/>
  <c r="AB495" i="1"/>
  <c r="AA498" i="1"/>
  <c r="AB500" i="1"/>
  <c r="AA480" i="1"/>
  <c r="AB482" i="1"/>
  <c r="AB485" i="1"/>
  <c r="AA488" i="1"/>
  <c r="AB490" i="1"/>
  <c r="AB493" i="1"/>
  <c r="AA496" i="1"/>
  <c r="AB498" i="1"/>
  <c r="AB501" i="1"/>
  <c r="AB535" i="1"/>
  <c r="AB543" i="1"/>
  <c r="O270" i="1"/>
  <c r="O272" i="1"/>
  <c r="O274" i="1"/>
  <c r="O276" i="1"/>
  <c r="O278" i="1"/>
  <c r="O280" i="1"/>
  <c r="O282" i="1"/>
  <c r="O284" i="1"/>
  <c r="O286" i="1"/>
  <c r="O288" i="1"/>
  <c r="O290" i="1"/>
  <c r="O292" i="1"/>
  <c r="O294" i="1"/>
  <c r="P270" i="1"/>
  <c r="O273" i="1"/>
  <c r="P275" i="1"/>
  <c r="P278" i="1"/>
  <c r="O281" i="1"/>
  <c r="P283" i="1"/>
  <c r="P286" i="1"/>
  <c r="O289" i="1"/>
  <c r="P291" i="1"/>
  <c r="P294" i="1"/>
  <c r="O479" i="1"/>
  <c r="O481" i="1"/>
  <c r="O483" i="1"/>
  <c r="O485" i="1"/>
  <c r="O487" i="1"/>
  <c r="O489" i="1"/>
  <c r="O491" i="1"/>
  <c r="O493" i="1"/>
  <c r="O495" i="1"/>
  <c r="O497" i="1"/>
  <c r="O499" i="1"/>
  <c r="O501" i="1"/>
  <c r="P271" i="1"/>
  <c r="P273" i="1"/>
  <c r="O275" i="1"/>
  <c r="O277" i="1"/>
  <c r="O279" i="1"/>
  <c r="P288" i="1"/>
  <c r="P290" i="1"/>
  <c r="P292" i="1"/>
  <c r="P272" i="1"/>
  <c r="P274" i="1"/>
  <c r="P276" i="1"/>
  <c r="P285" i="1"/>
  <c r="P287" i="1"/>
  <c r="P289" i="1"/>
  <c r="O291" i="1"/>
  <c r="O293" i="1"/>
  <c r="P277" i="1"/>
  <c r="P281" i="1"/>
  <c r="O285" i="1"/>
  <c r="O271" i="1"/>
  <c r="P282" i="1"/>
  <c r="P293" i="1"/>
  <c r="P279" i="1"/>
  <c r="O283" i="1"/>
  <c r="O287" i="1"/>
  <c r="P280" i="1"/>
  <c r="P284" i="1"/>
  <c r="O480" i="1"/>
  <c r="P482" i="1"/>
  <c r="P485" i="1"/>
  <c r="O488" i="1"/>
  <c r="P490" i="1"/>
  <c r="P493" i="1"/>
  <c r="O496" i="1"/>
  <c r="P498" i="1"/>
  <c r="P501" i="1"/>
  <c r="O478" i="1"/>
  <c r="P480" i="1"/>
  <c r="P483" i="1"/>
  <c r="O486" i="1"/>
  <c r="P488" i="1"/>
  <c r="P491" i="1"/>
  <c r="O494" i="1"/>
  <c r="P496" i="1"/>
  <c r="P499" i="1"/>
  <c r="O502" i="1"/>
  <c r="P478" i="1"/>
  <c r="P481" i="1"/>
  <c r="O484" i="1"/>
  <c r="P486" i="1"/>
  <c r="P489" i="1"/>
  <c r="O492" i="1"/>
  <c r="P494" i="1"/>
  <c r="P497" i="1"/>
  <c r="O500" i="1"/>
  <c r="P502" i="1"/>
  <c r="P535" i="1"/>
  <c r="P543" i="1"/>
  <c r="C270" i="1"/>
  <c r="C272" i="1"/>
  <c r="C274" i="1"/>
  <c r="C276" i="1"/>
  <c r="C278" i="1"/>
  <c r="C280" i="1"/>
  <c r="C282" i="1"/>
  <c r="C284" i="1"/>
  <c r="C286" i="1"/>
  <c r="C288" i="1"/>
  <c r="C290" i="1"/>
  <c r="C292" i="1"/>
  <c r="C294" i="1"/>
  <c r="D270" i="1"/>
  <c r="D271" i="1"/>
  <c r="D274" i="1"/>
  <c r="C277" i="1"/>
  <c r="D279" i="1"/>
  <c r="D282" i="1"/>
  <c r="C285" i="1"/>
  <c r="D287" i="1"/>
  <c r="D290" i="1"/>
  <c r="C293" i="1"/>
  <c r="C479" i="1"/>
  <c r="C481" i="1"/>
  <c r="C483" i="1"/>
  <c r="C485" i="1"/>
  <c r="C487" i="1"/>
  <c r="C489" i="1"/>
  <c r="C491" i="1"/>
  <c r="C493" i="1"/>
  <c r="C495" i="1"/>
  <c r="C497" i="1"/>
  <c r="C499" i="1"/>
  <c r="C501" i="1"/>
  <c r="D273" i="1"/>
  <c r="D275" i="1"/>
  <c r="D277" i="1"/>
  <c r="C279" i="1"/>
  <c r="C281" i="1"/>
  <c r="C283" i="1"/>
  <c r="D292" i="1"/>
  <c r="D294" i="1"/>
  <c r="D276" i="1"/>
  <c r="D278" i="1"/>
  <c r="D280" i="1"/>
  <c r="D289" i="1"/>
  <c r="D291" i="1"/>
  <c r="D293" i="1"/>
  <c r="D272" i="1"/>
  <c r="D283" i="1"/>
  <c r="C287" i="1"/>
  <c r="C291" i="1"/>
  <c r="C273" i="1"/>
  <c r="D284" i="1"/>
  <c r="D288" i="1"/>
  <c r="D281" i="1"/>
  <c r="D285" i="1"/>
  <c r="C289" i="1"/>
  <c r="D286" i="1"/>
  <c r="C271" i="1"/>
  <c r="C275" i="1"/>
  <c r="D478" i="1"/>
  <c r="D481" i="1"/>
  <c r="C484" i="1"/>
  <c r="D486" i="1"/>
  <c r="D489" i="1"/>
  <c r="C492" i="1"/>
  <c r="D494" i="1"/>
  <c r="D497" i="1"/>
  <c r="C500" i="1"/>
  <c r="D502" i="1"/>
  <c r="D479" i="1"/>
  <c r="C482" i="1"/>
  <c r="D484" i="1"/>
  <c r="D487" i="1"/>
  <c r="C490" i="1"/>
  <c r="D492" i="1"/>
  <c r="D495" i="1"/>
  <c r="C498" i="1"/>
  <c r="D500" i="1"/>
  <c r="C480" i="1"/>
  <c r="D482" i="1"/>
  <c r="D485" i="1"/>
  <c r="C488" i="1"/>
  <c r="D490" i="1"/>
  <c r="D493" i="1"/>
  <c r="C496" i="1"/>
  <c r="D498" i="1"/>
  <c r="D501" i="1"/>
  <c r="D535" i="1"/>
  <c r="D543" i="1"/>
  <c r="R245" i="1"/>
  <c r="R247" i="1"/>
  <c r="R249" i="1"/>
  <c r="R251" i="1"/>
  <c r="R253" i="1"/>
  <c r="R255" i="1"/>
  <c r="R257" i="1"/>
  <c r="R259" i="1"/>
  <c r="R261" i="1"/>
  <c r="R263" i="1"/>
  <c r="R246" i="1"/>
  <c r="S248" i="1"/>
  <c r="S251" i="1"/>
  <c r="R254" i="1"/>
  <c r="S256" i="1"/>
  <c r="S259" i="1"/>
  <c r="R262" i="1"/>
  <c r="R264" i="1"/>
  <c r="R266" i="1"/>
  <c r="R268" i="1"/>
  <c r="R244" i="1"/>
  <c r="S253" i="1"/>
  <c r="S255" i="1"/>
  <c r="S257" i="1"/>
  <c r="S264" i="1"/>
  <c r="R267" i="1"/>
  <c r="S250" i="1"/>
  <c r="S252" i="1"/>
  <c r="S254" i="1"/>
  <c r="R256" i="1"/>
  <c r="R258" i="1"/>
  <c r="R260" i="1"/>
  <c r="S265" i="1"/>
  <c r="S268" i="1"/>
  <c r="R453" i="1"/>
  <c r="R455" i="1"/>
  <c r="R457" i="1"/>
  <c r="R459" i="1"/>
  <c r="R461" i="1"/>
  <c r="R463" i="1"/>
  <c r="R465" i="1"/>
  <c r="R467" i="1"/>
  <c r="R469" i="1"/>
  <c r="R471" i="1"/>
  <c r="R473" i="1"/>
  <c r="R475" i="1"/>
  <c r="S244" i="1"/>
  <c r="R248" i="1"/>
  <c r="R252" i="1"/>
  <c r="S263" i="1"/>
  <c r="R265" i="1"/>
  <c r="S246" i="1"/>
  <c r="R250" i="1"/>
  <c r="S261" i="1"/>
  <c r="S267" i="1"/>
  <c r="S245" i="1"/>
  <c r="S247" i="1"/>
  <c r="S258" i="1"/>
  <c r="S249" i="1"/>
  <c r="S260" i="1"/>
  <c r="S266" i="1"/>
  <c r="R454" i="1"/>
  <c r="S456" i="1"/>
  <c r="S459" i="1"/>
  <c r="R462" i="1"/>
  <c r="S464" i="1"/>
  <c r="S467" i="1"/>
  <c r="R470" i="1"/>
  <c r="S472" i="1"/>
  <c r="S475" i="1"/>
  <c r="R452" i="1"/>
  <c r="S454" i="1"/>
  <c r="S457" i="1"/>
  <c r="R460" i="1"/>
  <c r="S462" i="1"/>
  <c r="S465" i="1"/>
  <c r="R468" i="1"/>
  <c r="S470" i="1"/>
  <c r="S473" i="1"/>
  <c r="R476" i="1"/>
  <c r="S452" i="1"/>
  <c r="S455" i="1"/>
  <c r="R458" i="1"/>
  <c r="S460" i="1"/>
  <c r="S463" i="1"/>
  <c r="R466" i="1"/>
  <c r="S468" i="1"/>
  <c r="S471" i="1"/>
  <c r="R474" i="1"/>
  <c r="S476" i="1"/>
  <c r="S534" i="1"/>
  <c r="S542" i="1"/>
  <c r="F245" i="1"/>
  <c r="F247" i="1"/>
  <c r="F249" i="1"/>
  <c r="F251" i="1"/>
  <c r="F253" i="1"/>
  <c r="F255" i="1"/>
  <c r="F257" i="1"/>
  <c r="F259" i="1"/>
  <c r="F261" i="1"/>
  <c r="F263" i="1"/>
  <c r="G244" i="1"/>
  <c r="G247" i="1"/>
  <c r="F250" i="1"/>
  <c r="G252" i="1"/>
  <c r="G255" i="1"/>
  <c r="F258" i="1"/>
  <c r="G260" i="1"/>
  <c r="G263" i="1"/>
  <c r="F266" i="1"/>
  <c r="F268" i="1"/>
  <c r="F244" i="1"/>
  <c r="F246" i="1"/>
  <c r="F248" i="1"/>
  <c r="G257" i="1"/>
  <c r="G259" i="1"/>
  <c r="G261" i="1"/>
  <c r="G265" i="1"/>
  <c r="G268" i="1"/>
  <c r="G245" i="1"/>
  <c r="G254" i="1"/>
  <c r="G256" i="1"/>
  <c r="G258" i="1"/>
  <c r="F260" i="1"/>
  <c r="F262" i="1"/>
  <c r="F264" i="1"/>
  <c r="F267" i="1"/>
  <c r="F453" i="1"/>
  <c r="F455" i="1"/>
  <c r="F457" i="1"/>
  <c r="F459" i="1"/>
  <c r="F461" i="1"/>
  <c r="F463" i="1"/>
  <c r="F465" i="1"/>
  <c r="F467" i="1"/>
  <c r="F469" i="1"/>
  <c r="F471" i="1"/>
  <c r="F473" i="1"/>
  <c r="F475" i="1"/>
  <c r="G246" i="1"/>
  <c r="G250" i="1"/>
  <c r="F254" i="1"/>
  <c r="G266" i="1"/>
  <c r="G248" i="1"/>
  <c r="F252" i="1"/>
  <c r="F256" i="1"/>
  <c r="G249" i="1"/>
  <c r="G267" i="1"/>
  <c r="G251" i="1"/>
  <c r="G262" i="1"/>
  <c r="F265" i="1"/>
  <c r="G264" i="1"/>
  <c r="G253" i="1"/>
  <c r="G452" i="1"/>
  <c r="G455" i="1"/>
  <c r="F458" i="1"/>
  <c r="G460" i="1"/>
  <c r="G463" i="1"/>
  <c r="F466" i="1"/>
  <c r="G468" i="1"/>
  <c r="G471" i="1"/>
  <c r="F474" i="1"/>
  <c r="G476" i="1"/>
  <c r="G534" i="1"/>
  <c r="G453" i="1"/>
  <c r="F456" i="1"/>
  <c r="G458" i="1"/>
  <c r="G461" i="1"/>
  <c r="F464" i="1"/>
  <c r="G466" i="1"/>
  <c r="G469" i="1"/>
  <c r="F472" i="1"/>
  <c r="G474" i="1"/>
  <c r="F454" i="1"/>
  <c r="G456" i="1"/>
  <c r="G459" i="1"/>
  <c r="F462" i="1"/>
  <c r="G464" i="1"/>
  <c r="G467" i="1"/>
  <c r="F470" i="1"/>
  <c r="G472" i="1"/>
  <c r="G475" i="1"/>
  <c r="G542" i="1"/>
  <c r="V219" i="1"/>
  <c r="V221" i="1"/>
  <c r="V223" i="1"/>
  <c r="U218" i="1"/>
  <c r="U220" i="1"/>
  <c r="U222" i="1"/>
  <c r="U224" i="1"/>
  <c r="U221" i="1"/>
  <c r="U225" i="1"/>
  <c r="U227" i="1"/>
  <c r="U229" i="1"/>
  <c r="U231" i="1"/>
  <c r="U233" i="1"/>
  <c r="U235" i="1"/>
  <c r="U237" i="1"/>
  <c r="U239" i="1"/>
  <c r="U241" i="1"/>
  <c r="V218" i="1"/>
  <c r="V222" i="1"/>
  <c r="V225" i="1"/>
  <c r="V227" i="1"/>
  <c r="V229" i="1"/>
  <c r="V231" i="1"/>
  <c r="V233" i="1"/>
  <c r="U223" i="1"/>
  <c r="U228" i="1"/>
  <c r="U232" i="1"/>
  <c r="U236" i="1"/>
  <c r="V238" i="1"/>
  <c r="V241" i="1"/>
  <c r="V224" i="1"/>
  <c r="U230" i="1"/>
  <c r="V234" i="1"/>
  <c r="V240" i="1"/>
  <c r="V242" i="1"/>
  <c r="V226" i="1"/>
  <c r="V232" i="1"/>
  <c r="U427" i="1"/>
  <c r="U429" i="1"/>
  <c r="U431" i="1"/>
  <c r="U433" i="1"/>
  <c r="U435" i="1"/>
  <c r="U437" i="1"/>
  <c r="U439" i="1"/>
  <c r="U441" i="1"/>
  <c r="U443" i="1"/>
  <c r="U445" i="1"/>
  <c r="U447" i="1"/>
  <c r="U449" i="1"/>
  <c r="U226" i="1"/>
  <c r="V235" i="1"/>
  <c r="V239" i="1"/>
  <c r="V230" i="1"/>
  <c r="V237" i="1"/>
  <c r="V236" i="1"/>
  <c r="V228" i="1"/>
  <c r="U238" i="1"/>
  <c r="U219" i="1"/>
  <c r="U240" i="1"/>
  <c r="V426" i="1"/>
  <c r="V429" i="1"/>
  <c r="U432" i="1"/>
  <c r="V220" i="1"/>
  <c r="U234" i="1"/>
  <c r="U428" i="1"/>
  <c r="V430" i="1"/>
  <c r="V433" i="1"/>
  <c r="U242" i="1"/>
  <c r="V428" i="1"/>
  <c r="V431" i="1"/>
  <c r="V434" i="1"/>
  <c r="U436" i="1"/>
  <c r="V438" i="1"/>
  <c r="V441" i="1"/>
  <c r="U444" i="1"/>
  <c r="V446" i="1"/>
  <c r="V449" i="1"/>
  <c r="V427" i="1"/>
  <c r="U430" i="1"/>
  <c r="V436" i="1"/>
  <c r="V439" i="1"/>
  <c r="U442" i="1"/>
  <c r="V444" i="1"/>
  <c r="V447" i="1"/>
  <c r="U450" i="1"/>
  <c r="U426" i="1"/>
  <c r="V435" i="1"/>
  <c r="V437" i="1"/>
  <c r="U440" i="1"/>
  <c r="V442" i="1"/>
  <c r="V445" i="1"/>
  <c r="U448" i="1"/>
  <c r="V450" i="1"/>
  <c r="V533" i="1"/>
  <c r="V541" i="1"/>
  <c r="Y193" i="1"/>
  <c r="Y195" i="1"/>
  <c r="Y197" i="1"/>
  <c r="Y199" i="1"/>
  <c r="Y201" i="1"/>
  <c r="Y203" i="1"/>
  <c r="Y205" i="1"/>
  <c r="Y207" i="1"/>
  <c r="Y209" i="1"/>
  <c r="Y211" i="1"/>
  <c r="Y213" i="1"/>
  <c r="Y215" i="1"/>
  <c r="X192" i="1"/>
  <c r="X194" i="1"/>
  <c r="X196" i="1"/>
  <c r="X198" i="1"/>
  <c r="X200" i="1"/>
  <c r="X202" i="1"/>
  <c r="X204" i="1"/>
  <c r="X206" i="1"/>
  <c r="X208" i="1"/>
  <c r="X210" i="1"/>
  <c r="X212" i="1"/>
  <c r="X214" i="1"/>
  <c r="X216" i="1"/>
  <c r="X195" i="1"/>
  <c r="X199" i="1"/>
  <c r="X203" i="1"/>
  <c r="X207" i="1"/>
  <c r="X211" i="1"/>
  <c r="X215" i="1"/>
  <c r="Y192" i="1"/>
  <c r="Y196" i="1"/>
  <c r="Y200" i="1"/>
  <c r="Y204" i="1"/>
  <c r="Y208" i="1"/>
  <c r="Y212" i="1"/>
  <c r="Y216" i="1"/>
  <c r="X197" i="1"/>
  <c r="X205" i="1"/>
  <c r="X213" i="1"/>
  <c r="Y198" i="1"/>
  <c r="X201" i="1"/>
  <c r="Y202" i="1"/>
  <c r="Y214" i="1"/>
  <c r="X401" i="1"/>
  <c r="X403" i="1"/>
  <c r="X405" i="1"/>
  <c r="X407" i="1"/>
  <c r="X409" i="1"/>
  <c r="X411" i="1"/>
  <c r="X413" i="1"/>
  <c r="X415" i="1"/>
  <c r="X417" i="1"/>
  <c r="X419" i="1"/>
  <c r="X421" i="1"/>
  <c r="X423" i="1"/>
  <c r="Y210" i="1"/>
  <c r="X209" i="1"/>
  <c r="Y206" i="1"/>
  <c r="X193" i="1"/>
  <c r="Y194" i="1"/>
  <c r="Y400" i="1"/>
  <c r="Y403" i="1"/>
  <c r="X406" i="1"/>
  <c r="Y408" i="1"/>
  <c r="Y411" i="1"/>
  <c r="X414" i="1"/>
  <c r="Y416" i="1"/>
  <c r="Y419" i="1"/>
  <c r="X422" i="1"/>
  <c r="Y424" i="1"/>
  <c r="Y401" i="1"/>
  <c r="X402" i="1"/>
  <c r="Y404" i="1"/>
  <c r="Y407" i="1"/>
  <c r="X410" i="1"/>
  <c r="Y412" i="1"/>
  <c r="Y415" i="1"/>
  <c r="X418" i="1"/>
  <c r="Y420" i="1"/>
  <c r="Y423" i="1"/>
  <c r="Y405" i="1"/>
  <c r="X408" i="1"/>
  <c r="Y418" i="1"/>
  <c r="Y421" i="1"/>
  <c r="X424" i="1"/>
  <c r="X404" i="1"/>
  <c r="Y414" i="1"/>
  <c r="Y417" i="1"/>
  <c r="X420" i="1"/>
  <c r="Y402" i="1"/>
  <c r="Y410" i="1"/>
  <c r="Y413" i="1"/>
  <c r="X416" i="1"/>
  <c r="Y532" i="1"/>
  <c r="Y540" i="1"/>
  <c r="AB166" i="1"/>
  <c r="AB167" i="1"/>
  <c r="AB169" i="1"/>
  <c r="AB171" i="1"/>
  <c r="AB173" i="1"/>
  <c r="AB175" i="1"/>
  <c r="AB177" i="1"/>
  <c r="AB179" i="1"/>
  <c r="AB181" i="1"/>
  <c r="AB183" i="1"/>
  <c r="AB185" i="1"/>
  <c r="AB187" i="1"/>
  <c r="AB189" i="1"/>
  <c r="AA168" i="1"/>
  <c r="AA170" i="1"/>
  <c r="AA172" i="1"/>
  <c r="AA174" i="1"/>
  <c r="AA176" i="1"/>
  <c r="AA178" i="1"/>
  <c r="AA180" i="1"/>
  <c r="AA182" i="1"/>
  <c r="AA184" i="1"/>
  <c r="AA186" i="1"/>
  <c r="AA188" i="1"/>
  <c r="AA190" i="1"/>
  <c r="AA167" i="1"/>
  <c r="AA169" i="1"/>
  <c r="AA173" i="1"/>
  <c r="AA177" i="1"/>
  <c r="AA181" i="1"/>
  <c r="AA185" i="1"/>
  <c r="AA189" i="1"/>
  <c r="AA166" i="1"/>
  <c r="AB170" i="1"/>
  <c r="AB174" i="1"/>
  <c r="AB178" i="1"/>
  <c r="AB182" i="1"/>
  <c r="AB186" i="1"/>
  <c r="AB190" i="1"/>
  <c r="AA171" i="1"/>
  <c r="AA179" i="1"/>
  <c r="AA187" i="1"/>
  <c r="AB172" i="1"/>
  <c r="AA175" i="1"/>
  <c r="AB176" i="1"/>
  <c r="AB188" i="1"/>
  <c r="AA375" i="1"/>
  <c r="AA377" i="1"/>
  <c r="AA379" i="1"/>
  <c r="AA381" i="1"/>
  <c r="AA383" i="1"/>
  <c r="AA385" i="1"/>
  <c r="AA387" i="1"/>
  <c r="AA389" i="1"/>
  <c r="AA391" i="1"/>
  <c r="AA393" i="1"/>
  <c r="AA395" i="1"/>
  <c r="AA397" i="1"/>
  <c r="AA183" i="1"/>
  <c r="AB375" i="1"/>
  <c r="AB184" i="1"/>
  <c r="AA374" i="1"/>
  <c r="AB168" i="1"/>
  <c r="AB377" i="1"/>
  <c r="AA380" i="1"/>
  <c r="AB382" i="1"/>
  <c r="AB385" i="1"/>
  <c r="AA388" i="1"/>
  <c r="AB390" i="1"/>
  <c r="AB393" i="1"/>
  <c r="AA396" i="1"/>
  <c r="AB398" i="1"/>
  <c r="AB180" i="1"/>
  <c r="AA378" i="1"/>
  <c r="AB380" i="1"/>
  <c r="AB383" i="1"/>
  <c r="AA386" i="1"/>
  <c r="AB388" i="1"/>
  <c r="AB391" i="1"/>
  <c r="AA394" i="1"/>
  <c r="AB396" i="1"/>
  <c r="AA376" i="1"/>
  <c r="AB378" i="1"/>
  <c r="AB381" i="1"/>
  <c r="AA384" i="1"/>
  <c r="AB386" i="1"/>
  <c r="AB389" i="1"/>
  <c r="AA392" i="1"/>
  <c r="AB394" i="1"/>
  <c r="AB397" i="1"/>
  <c r="AB379" i="1"/>
  <c r="AB392" i="1"/>
  <c r="AA398" i="1"/>
  <c r="AB374" i="1"/>
  <c r="AB384" i="1"/>
  <c r="AA390" i="1"/>
  <c r="AB376" i="1"/>
  <c r="AA382" i="1"/>
  <c r="AB395" i="1"/>
  <c r="AB531" i="1"/>
  <c r="AB539" i="1"/>
  <c r="P166" i="1"/>
  <c r="P168" i="1"/>
  <c r="O166" i="1"/>
  <c r="P169" i="1"/>
  <c r="P171" i="1"/>
  <c r="P173" i="1"/>
  <c r="P175" i="1"/>
  <c r="P177" i="1"/>
  <c r="P179" i="1"/>
  <c r="P181" i="1"/>
  <c r="P183" i="1"/>
  <c r="P185" i="1"/>
  <c r="P187" i="1"/>
  <c r="P189" i="1"/>
  <c r="O167" i="1"/>
  <c r="O170" i="1"/>
  <c r="O172" i="1"/>
  <c r="O174" i="1"/>
  <c r="O176" i="1"/>
  <c r="O178" i="1"/>
  <c r="O180" i="1"/>
  <c r="O182" i="1"/>
  <c r="O184" i="1"/>
  <c r="O186" i="1"/>
  <c r="O188" i="1"/>
  <c r="O190" i="1"/>
  <c r="O168" i="1"/>
  <c r="O169" i="1"/>
  <c r="O173" i="1"/>
  <c r="O177" i="1"/>
  <c r="O181" i="1"/>
  <c r="O185" i="1"/>
  <c r="O189" i="1"/>
  <c r="P167" i="1"/>
  <c r="P170" i="1"/>
  <c r="P174" i="1"/>
  <c r="P178" i="1"/>
  <c r="P182" i="1"/>
  <c r="P186" i="1"/>
  <c r="P190" i="1"/>
  <c r="O175" i="1"/>
  <c r="O183" i="1"/>
  <c r="O374" i="1"/>
  <c r="P176" i="1"/>
  <c r="O179" i="1"/>
  <c r="P180" i="1"/>
  <c r="P374" i="1"/>
  <c r="O375" i="1"/>
  <c r="O377" i="1"/>
  <c r="O379" i="1"/>
  <c r="O381" i="1"/>
  <c r="O383" i="1"/>
  <c r="O385" i="1"/>
  <c r="O387" i="1"/>
  <c r="O389" i="1"/>
  <c r="O391" i="1"/>
  <c r="O393" i="1"/>
  <c r="O395" i="1"/>
  <c r="O397" i="1"/>
  <c r="P188" i="1"/>
  <c r="O187" i="1"/>
  <c r="P375" i="1"/>
  <c r="P172" i="1"/>
  <c r="P184" i="1"/>
  <c r="O376" i="1"/>
  <c r="P378" i="1"/>
  <c r="P381" i="1"/>
  <c r="O384" i="1"/>
  <c r="P386" i="1"/>
  <c r="P389" i="1"/>
  <c r="O392" i="1"/>
  <c r="P394" i="1"/>
  <c r="P397" i="1"/>
  <c r="P376" i="1"/>
  <c r="P379" i="1"/>
  <c r="O382" i="1"/>
  <c r="P384" i="1"/>
  <c r="P387" i="1"/>
  <c r="O390" i="1"/>
  <c r="P392" i="1"/>
  <c r="P395" i="1"/>
  <c r="O398" i="1"/>
  <c r="P377" i="1"/>
  <c r="O380" i="1"/>
  <c r="P382" i="1"/>
  <c r="P385" i="1"/>
  <c r="O388" i="1"/>
  <c r="P390" i="1"/>
  <c r="P393" i="1"/>
  <c r="O396" i="1"/>
  <c r="P398" i="1"/>
  <c r="P383" i="1"/>
  <c r="P396" i="1"/>
  <c r="P531" i="1"/>
  <c r="P388" i="1"/>
  <c r="O394" i="1"/>
  <c r="P380" i="1"/>
  <c r="O386" i="1"/>
  <c r="P539" i="1"/>
  <c r="P547" i="1"/>
  <c r="R141" i="1"/>
  <c r="R143" i="1"/>
  <c r="R145" i="1"/>
  <c r="R147" i="1"/>
  <c r="R142" i="1"/>
  <c r="S144" i="1"/>
  <c r="S147" i="1"/>
  <c r="R150" i="1"/>
  <c r="R152" i="1"/>
  <c r="R154" i="1"/>
  <c r="R156" i="1"/>
  <c r="R158" i="1"/>
  <c r="R160" i="1"/>
  <c r="R140" i="1"/>
  <c r="S142" i="1"/>
  <c r="S145" i="1"/>
  <c r="R148" i="1"/>
  <c r="S150" i="1"/>
  <c r="S152" i="1"/>
  <c r="S154" i="1"/>
  <c r="S156" i="1"/>
  <c r="S158" i="1"/>
  <c r="S160" i="1"/>
  <c r="S162" i="1"/>
  <c r="S164" i="1"/>
  <c r="S141" i="1"/>
  <c r="R144" i="1"/>
  <c r="S149" i="1"/>
  <c r="S153" i="1"/>
  <c r="S157" i="1"/>
  <c r="S161" i="1"/>
  <c r="R164" i="1"/>
  <c r="S140" i="1"/>
  <c r="S143" i="1"/>
  <c r="R146" i="1"/>
  <c r="R151" i="1"/>
  <c r="R155" i="1"/>
  <c r="R159" i="1"/>
  <c r="R162" i="1"/>
  <c r="S148" i="1"/>
  <c r="R149" i="1"/>
  <c r="R157" i="1"/>
  <c r="R161" i="1"/>
  <c r="S146" i="1"/>
  <c r="S151" i="1"/>
  <c r="S159" i="1"/>
  <c r="R163" i="1"/>
  <c r="S163" i="1"/>
  <c r="R348" i="1"/>
  <c r="R350" i="1"/>
  <c r="R352" i="1"/>
  <c r="R354" i="1"/>
  <c r="R356" i="1"/>
  <c r="R358" i="1"/>
  <c r="R360" i="1"/>
  <c r="R362" i="1"/>
  <c r="R364" i="1"/>
  <c r="R366" i="1"/>
  <c r="R368" i="1"/>
  <c r="R370" i="1"/>
  <c r="R372" i="1"/>
  <c r="R153" i="1"/>
  <c r="S155" i="1"/>
  <c r="S348" i="1"/>
  <c r="R351" i="1"/>
  <c r="S353" i="1"/>
  <c r="S356" i="1"/>
  <c r="R359" i="1"/>
  <c r="S361" i="1"/>
  <c r="S364" i="1"/>
  <c r="R367" i="1"/>
  <c r="S369" i="1"/>
  <c r="S372" i="1"/>
  <c r="S349" i="1"/>
  <c r="S351" i="1"/>
  <c r="R353" i="1"/>
  <c r="R355" i="1"/>
  <c r="R357" i="1"/>
  <c r="S366" i="1"/>
  <c r="S368" i="1"/>
  <c r="S370" i="1"/>
  <c r="S350" i="1"/>
  <c r="S352" i="1"/>
  <c r="S354" i="1"/>
  <c r="S363" i="1"/>
  <c r="S365" i="1"/>
  <c r="S367" i="1"/>
  <c r="R369" i="1"/>
  <c r="R371" i="1"/>
  <c r="S357" i="1"/>
  <c r="R361" i="1"/>
  <c r="R365" i="1"/>
  <c r="R349" i="1"/>
  <c r="S358" i="1"/>
  <c r="S362" i="1"/>
  <c r="S355" i="1"/>
  <c r="S359" i="1"/>
  <c r="R363" i="1"/>
  <c r="S360" i="1"/>
  <c r="S530" i="1"/>
  <c r="S371" i="1"/>
  <c r="S538" i="1"/>
  <c r="S546" i="1"/>
  <c r="U114" i="1"/>
  <c r="U115" i="1"/>
  <c r="U116" i="1"/>
  <c r="U117" i="1"/>
  <c r="V117" i="1"/>
  <c r="V116" i="1"/>
  <c r="U127" i="1"/>
  <c r="U129" i="1"/>
  <c r="U131" i="1"/>
  <c r="U133" i="1"/>
  <c r="U135" i="1"/>
  <c r="U137" i="1"/>
  <c r="V115" i="1"/>
  <c r="V124" i="1"/>
  <c r="V125" i="1"/>
  <c r="V126" i="1"/>
  <c r="V129" i="1"/>
  <c r="U132" i="1"/>
  <c r="V134" i="1"/>
  <c r="V127" i="1"/>
  <c r="U130" i="1"/>
  <c r="V132" i="1"/>
  <c r="U119" i="1"/>
  <c r="U121" i="1"/>
  <c r="U123" i="1"/>
  <c r="U128" i="1"/>
  <c r="V137" i="1"/>
  <c r="V119" i="1"/>
  <c r="V121" i="1"/>
  <c r="V123" i="1"/>
  <c r="U125" i="1"/>
  <c r="V128" i="1"/>
  <c r="V131" i="1"/>
  <c r="U134" i="1"/>
  <c r="V135" i="1"/>
  <c r="U138" i="1"/>
  <c r="V114" i="1"/>
  <c r="U118" i="1"/>
  <c r="U120" i="1"/>
  <c r="U122" i="1"/>
  <c r="V133" i="1"/>
  <c r="U136" i="1"/>
  <c r="V118" i="1"/>
  <c r="V122" i="1"/>
  <c r="V138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6" i="1"/>
  <c r="U338" i="1"/>
  <c r="U340" i="1"/>
  <c r="U342" i="1"/>
  <c r="U344" i="1"/>
  <c r="U346" i="1"/>
  <c r="V120" i="1"/>
  <c r="V136" i="1"/>
  <c r="V324" i="1"/>
  <c r="V328" i="1"/>
  <c r="V332" i="1"/>
  <c r="V335" i="1"/>
  <c r="V338" i="1"/>
  <c r="U341" i="1"/>
  <c r="V343" i="1"/>
  <c r="V346" i="1"/>
  <c r="V327" i="1"/>
  <c r="V329" i="1"/>
  <c r="V330" i="1"/>
  <c r="V340" i="1"/>
  <c r="V342" i="1"/>
  <c r="V344" i="1"/>
  <c r="V130" i="1"/>
  <c r="V322" i="1"/>
  <c r="V337" i="1"/>
  <c r="V339" i="1"/>
  <c r="V341" i="1"/>
  <c r="U343" i="1"/>
  <c r="U345" i="1"/>
  <c r="V331" i="1"/>
  <c r="U337" i="1"/>
  <c r="U124" i="1"/>
  <c r="U126" i="1"/>
  <c r="V326" i="1"/>
  <c r="V333" i="1"/>
  <c r="U335" i="1"/>
  <c r="U339" i="1"/>
  <c r="V336" i="1"/>
  <c r="V323" i="1"/>
  <c r="V529" i="1"/>
  <c r="V325" i="1"/>
  <c r="V334" i="1"/>
  <c r="V345" i="1"/>
  <c r="V537" i="1"/>
  <c r="V545" i="1"/>
  <c r="U560" i="1"/>
  <c r="I560" i="1"/>
  <c r="X559" i="1"/>
  <c r="L559" i="1"/>
  <c r="AA558" i="1"/>
  <c r="O558" i="1"/>
  <c r="C558" i="1"/>
  <c r="R557" i="1"/>
  <c r="U556" i="1"/>
  <c r="X555" i="1"/>
  <c r="AA554" i="1"/>
  <c r="U552" i="1"/>
  <c r="I552" i="1"/>
  <c r="X551" i="1"/>
  <c r="L551" i="1"/>
  <c r="AA550" i="1"/>
  <c r="O550" i="1"/>
  <c r="C550" i="1"/>
  <c r="R549" i="1"/>
  <c r="U548" i="1"/>
  <c r="R544" i="1"/>
  <c r="F544" i="1"/>
  <c r="U543" i="1"/>
  <c r="I543" i="1"/>
  <c r="X542" i="1"/>
  <c r="L542" i="1"/>
  <c r="AA541" i="1"/>
  <c r="O541" i="1"/>
  <c r="C541" i="1"/>
  <c r="R540" i="1"/>
  <c r="U539" i="1"/>
  <c r="AA537" i="1"/>
  <c r="R536" i="1"/>
  <c r="F536" i="1"/>
  <c r="U535" i="1"/>
  <c r="I535" i="1"/>
  <c r="X534" i="1"/>
  <c r="U533" i="1"/>
  <c r="D533" i="1"/>
  <c r="AA531" i="1"/>
  <c r="L528" i="1"/>
  <c r="V527" i="1"/>
  <c r="G527" i="1"/>
  <c r="R526" i="1"/>
  <c r="M525" i="1"/>
  <c r="X524" i="1"/>
  <c r="G524" i="1"/>
  <c r="S523" i="1"/>
  <c r="M522" i="1"/>
  <c r="Y521" i="1"/>
  <c r="I521" i="1"/>
  <c r="S520" i="1"/>
  <c r="Y518" i="1"/>
  <c r="J518" i="1"/>
  <c r="U517" i="1"/>
  <c r="V514" i="1"/>
  <c r="F514" i="1"/>
  <c r="L512" i="1"/>
  <c r="V511" i="1"/>
  <c r="G511" i="1"/>
  <c r="F510" i="1"/>
  <c r="R506" i="1"/>
  <c r="M505" i="1"/>
  <c r="G504" i="1"/>
  <c r="C502" i="1"/>
  <c r="Y500" i="1"/>
  <c r="O498" i="1"/>
  <c r="J497" i="1"/>
  <c r="D496" i="1"/>
  <c r="AA494" i="1"/>
  <c r="V493" i="1"/>
  <c r="P492" i="1"/>
  <c r="L491" i="1"/>
  <c r="AB488" i="1"/>
  <c r="X487" i="1"/>
  <c r="I484" i="1"/>
  <c r="D483" i="1"/>
  <c r="U480" i="1"/>
  <c r="P479" i="1"/>
  <c r="J478" i="1"/>
  <c r="F476" i="1"/>
  <c r="AB474" i="1"/>
  <c r="R472" i="1"/>
  <c r="M471" i="1"/>
  <c r="G470" i="1"/>
  <c r="C469" i="1"/>
  <c r="Y467" i="1"/>
  <c r="S466" i="1"/>
  <c r="O465" i="1"/>
  <c r="AA461" i="1"/>
  <c r="L458" i="1"/>
  <c r="G457" i="1"/>
  <c r="X454" i="1"/>
  <c r="S453" i="1"/>
  <c r="M452" i="1"/>
  <c r="D449" i="1"/>
  <c r="U446" i="1"/>
  <c r="P445" i="1"/>
  <c r="AB441" i="1"/>
  <c r="V440" i="1"/>
  <c r="R414" i="1"/>
  <c r="Y409" i="1"/>
  <c r="P391" i="1"/>
  <c r="V386" i="1"/>
  <c r="O171" i="1"/>
  <c r="U297" i="1"/>
  <c r="U299" i="1"/>
  <c r="U301" i="1"/>
  <c r="U303" i="1"/>
  <c r="U305" i="1"/>
  <c r="U307" i="1"/>
  <c r="U309" i="1"/>
  <c r="U311" i="1"/>
  <c r="U313" i="1"/>
  <c r="U315" i="1"/>
  <c r="U317" i="1"/>
  <c r="U319" i="1"/>
  <c r="U296" i="1"/>
  <c r="V298" i="1"/>
  <c r="V301" i="1"/>
  <c r="U304" i="1"/>
  <c r="V306" i="1"/>
  <c r="V309" i="1"/>
  <c r="U312" i="1"/>
  <c r="V314" i="1"/>
  <c r="V317" i="1"/>
  <c r="U320" i="1"/>
  <c r="U504" i="1"/>
  <c r="U506" i="1"/>
  <c r="U508" i="1"/>
  <c r="U510" i="1"/>
  <c r="U512" i="1"/>
  <c r="U514" i="1"/>
  <c r="U516" i="1"/>
  <c r="U518" i="1"/>
  <c r="U520" i="1"/>
  <c r="U522" i="1"/>
  <c r="U524" i="1"/>
  <c r="U526" i="1"/>
  <c r="U528" i="1"/>
  <c r="V303" i="1"/>
  <c r="V305" i="1"/>
  <c r="V307" i="1"/>
  <c r="V316" i="1"/>
  <c r="V318" i="1"/>
  <c r="V320" i="1"/>
  <c r="V300" i="1"/>
  <c r="V302" i="1"/>
  <c r="V304" i="1"/>
  <c r="U306" i="1"/>
  <c r="U308" i="1"/>
  <c r="U310" i="1"/>
  <c r="V319" i="1"/>
  <c r="V296" i="1"/>
  <c r="U300" i="1"/>
  <c r="V311" i="1"/>
  <c r="V315" i="1"/>
  <c r="V297" i="1"/>
  <c r="U298" i="1"/>
  <c r="U302" i="1"/>
  <c r="V313" i="1"/>
  <c r="V299" i="1"/>
  <c r="U314" i="1"/>
  <c r="V308" i="1"/>
  <c r="U316" i="1"/>
  <c r="V310" i="1"/>
  <c r="U318" i="1"/>
  <c r="V312" i="1"/>
  <c r="V505" i="1"/>
  <c r="V508" i="1"/>
  <c r="U511" i="1"/>
  <c r="V513" i="1"/>
  <c r="V516" i="1"/>
  <c r="U519" i="1"/>
  <c r="V521" i="1"/>
  <c r="V524" i="1"/>
  <c r="U527" i="1"/>
  <c r="V536" i="1"/>
  <c r="V544" i="1"/>
  <c r="V506" i="1"/>
  <c r="U509" i="1"/>
  <c r="V504" i="1"/>
  <c r="U507" i="1"/>
  <c r="V509" i="1"/>
  <c r="V512" i="1"/>
  <c r="U515" i="1"/>
  <c r="V517" i="1"/>
  <c r="V520" i="1"/>
  <c r="U523" i="1"/>
  <c r="V525" i="1"/>
  <c r="V528" i="1"/>
  <c r="I297" i="1"/>
  <c r="I299" i="1"/>
  <c r="I301" i="1"/>
  <c r="I303" i="1"/>
  <c r="I305" i="1"/>
  <c r="I307" i="1"/>
  <c r="I309" i="1"/>
  <c r="I311" i="1"/>
  <c r="I313" i="1"/>
  <c r="I315" i="1"/>
  <c r="I317" i="1"/>
  <c r="I319" i="1"/>
  <c r="J297" i="1"/>
  <c r="I300" i="1"/>
  <c r="J302" i="1"/>
  <c r="J305" i="1"/>
  <c r="I308" i="1"/>
  <c r="J310" i="1"/>
  <c r="J313" i="1"/>
  <c r="I316" i="1"/>
  <c r="J318" i="1"/>
  <c r="I504" i="1"/>
  <c r="I506" i="1"/>
  <c r="I508" i="1"/>
  <c r="I510" i="1"/>
  <c r="I512" i="1"/>
  <c r="I514" i="1"/>
  <c r="I516" i="1"/>
  <c r="I518" i="1"/>
  <c r="I520" i="1"/>
  <c r="I522" i="1"/>
  <c r="I524" i="1"/>
  <c r="I526" i="1"/>
  <c r="I528" i="1"/>
  <c r="I296" i="1"/>
  <c r="I298" i="1"/>
  <c r="J307" i="1"/>
  <c r="J309" i="1"/>
  <c r="J311" i="1"/>
  <c r="J320" i="1"/>
  <c r="J304" i="1"/>
  <c r="J306" i="1"/>
  <c r="J308" i="1"/>
  <c r="I310" i="1"/>
  <c r="I312" i="1"/>
  <c r="I314" i="1"/>
  <c r="J298" i="1"/>
  <c r="I302" i="1"/>
  <c r="I306" i="1"/>
  <c r="J317" i="1"/>
  <c r="J299" i="1"/>
  <c r="J303" i="1"/>
  <c r="J296" i="1"/>
  <c r="J300" i="1"/>
  <c r="I304" i="1"/>
  <c r="J315" i="1"/>
  <c r="J319" i="1"/>
  <c r="J316" i="1"/>
  <c r="I318" i="1"/>
  <c r="J301" i="1"/>
  <c r="J312" i="1"/>
  <c r="I320" i="1"/>
  <c r="J504" i="1"/>
  <c r="I507" i="1"/>
  <c r="J509" i="1"/>
  <c r="J512" i="1"/>
  <c r="I515" i="1"/>
  <c r="J517" i="1"/>
  <c r="J520" i="1"/>
  <c r="I523" i="1"/>
  <c r="J525" i="1"/>
  <c r="J528" i="1"/>
  <c r="J536" i="1"/>
  <c r="J544" i="1"/>
  <c r="J314" i="1"/>
  <c r="I505" i="1"/>
  <c r="J507" i="1"/>
  <c r="J510" i="1"/>
  <c r="J505" i="1"/>
  <c r="J508" i="1"/>
  <c r="I511" i="1"/>
  <c r="J513" i="1"/>
  <c r="J516" i="1"/>
  <c r="I519" i="1"/>
  <c r="J521" i="1"/>
  <c r="J524" i="1"/>
  <c r="I527" i="1"/>
  <c r="X271" i="1"/>
  <c r="X273" i="1"/>
  <c r="X275" i="1"/>
  <c r="X277" i="1"/>
  <c r="X279" i="1"/>
  <c r="X281" i="1"/>
  <c r="X283" i="1"/>
  <c r="X285" i="1"/>
  <c r="X287" i="1"/>
  <c r="X289" i="1"/>
  <c r="X291" i="1"/>
  <c r="X293" i="1"/>
  <c r="X270" i="1"/>
  <c r="Y272" i="1"/>
  <c r="Y275" i="1"/>
  <c r="X278" i="1"/>
  <c r="Y280" i="1"/>
  <c r="Y283" i="1"/>
  <c r="X286" i="1"/>
  <c r="Y288" i="1"/>
  <c r="Y291" i="1"/>
  <c r="X294" i="1"/>
  <c r="X478" i="1"/>
  <c r="X480" i="1"/>
  <c r="X482" i="1"/>
  <c r="X484" i="1"/>
  <c r="X486" i="1"/>
  <c r="X488" i="1"/>
  <c r="X490" i="1"/>
  <c r="X492" i="1"/>
  <c r="X494" i="1"/>
  <c r="X496" i="1"/>
  <c r="X498" i="1"/>
  <c r="X500" i="1"/>
  <c r="X502" i="1"/>
  <c r="Y277" i="1"/>
  <c r="Y279" i="1"/>
  <c r="Y281" i="1"/>
  <c r="Y290" i="1"/>
  <c r="Y292" i="1"/>
  <c r="Y294" i="1"/>
  <c r="Y274" i="1"/>
  <c r="Y276" i="1"/>
  <c r="Y278" i="1"/>
  <c r="X280" i="1"/>
  <c r="X282" i="1"/>
  <c r="X284" i="1"/>
  <c r="Y293" i="1"/>
  <c r="X272" i="1"/>
  <c r="X276" i="1"/>
  <c r="Y287" i="1"/>
  <c r="Y273" i="1"/>
  <c r="Y284" i="1"/>
  <c r="X288" i="1"/>
  <c r="X292" i="1"/>
  <c r="Y270" i="1"/>
  <c r="X274" i="1"/>
  <c r="Y285" i="1"/>
  <c r="Y289" i="1"/>
  <c r="Y282" i="1"/>
  <c r="Y286" i="1"/>
  <c r="Y271" i="1"/>
  <c r="X290" i="1"/>
  <c r="Y479" i="1"/>
  <c r="Y482" i="1"/>
  <c r="X485" i="1"/>
  <c r="Y487" i="1"/>
  <c r="Y490" i="1"/>
  <c r="X493" i="1"/>
  <c r="Y495" i="1"/>
  <c r="Y498" i="1"/>
  <c r="X501" i="1"/>
  <c r="Y535" i="1"/>
  <c r="Y543" i="1"/>
  <c r="Y480" i="1"/>
  <c r="X483" i="1"/>
  <c r="Y485" i="1"/>
  <c r="Y488" i="1"/>
  <c r="X491" i="1"/>
  <c r="Y493" i="1"/>
  <c r="Y496" i="1"/>
  <c r="X499" i="1"/>
  <c r="Y501" i="1"/>
  <c r="Y478" i="1"/>
  <c r="X481" i="1"/>
  <c r="Y483" i="1"/>
  <c r="Y486" i="1"/>
  <c r="X489" i="1"/>
  <c r="Y491" i="1"/>
  <c r="Y494" i="1"/>
  <c r="X497" i="1"/>
  <c r="Y499" i="1"/>
  <c r="Y502" i="1"/>
  <c r="L271" i="1"/>
  <c r="L273" i="1"/>
  <c r="L275" i="1"/>
  <c r="L277" i="1"/>
  <c r="L279" i="1"/>
  <c r="L281" i="1"/>
  <c r="L283" i="1"/>
  <c r="L285" i="1"/>
  <c r="L287" i="1"/>
  <c r="L289" i="1"/>
  <c r="L291" i="1"/>
  <c r="L293" i="1"/>
  <c r="L270" i="1"/>
  <c r="M271" i="1"/>
  <c r="L274" i="1"/>
  <c r="M276" i="1"/>
  <c r="M279" i="1"/>
  <c r="L282" i="1"/>
  <c r="M284" i="1"/>
  <c r="M287" i="1"/>
  <c r="L290" i="1"/>
  <c r="M292" i="1"/>
  <c r="L478" i="1"/>
  <c r="L480" i="1"/>
  <c r="L482" i="1"/>
  <c r="L484" i="1"/>
  <c r="L486" i="1"/>
  <c r="L488" i="1"/>
  <c r="L490" i="1"/>
  <c r="L492" i="1"/>
  <c r="L494" i="1"/>
  <c r="L496" i="1"/>
  <c r="L498" i="1"/>
  <c r="L500" i="1"/>
  <c r="L502" i="1"/>
  <c r="L272" i="1"/>
  <c r="M281" i="1"/>
  <c r="M283" i="1"/>
  <c r="M285" i="1"/>
  <c r="M294" i="1"/>
  <c r="M270" i="1"/>
  <c r="M278" i="1"/>
  <c r="M280" i="1"/>
  <c r="M282" i="1"/>
  <c r="L284" i="1"/>
  <c r="L286" i="1"/>
  <c r="L288" i="1"/>
  <c r="M274" i="1"/>
  <c r="L278" i="1"/>
  <c r="M289" i="1"/>
  <c r="M293" i="1"/>
  <c r="M275" i="1"/>
  <c r="M286" i="1"/>
  <c r="M290" i="1"/>
  <c r="L294" i="1"/>
  <c r="M272" i="1"/>
  <c r="L276" i="1"/>
  <c r="L280" i="1"/>
  <c r="M291" i="1"/>
  <c r="M273" i="1"/>
  <c r="L292" i="1"/>
  <c r="M277" i="1"/>
  <c r="M478" i="1"/>
  <c r="L481" i="1"/>
  <c r="M483" i="1"/>
  <c r="M486" i="1"/>
  <c r="L489" i="1"/>
  <c r="M491" i="1"/>
  <c r="M494" i="1"/>
  <c r="L497" i="1"/>
  <c r="M499" i="1"/>
  <c r="M502" i="1"/>
  <c r="M535" i="1"/>
  <c r="M543" i="1"/>
  <c r="L479" i="1"/>
  <c r="M481" i="1"/>
  <c r="M484" i="1"/>
  <c r="L487" i="1"/>
  <c r="M489" i="1"/>
  <c r="M492" i="1"/>
  <c r="L495" i="1"/>
  <c r="M497" i="1"/>
  <c r="M500" i="1"/>
  <c r="M288" i="1"/>
  <c r="M479" i="1"/>
  <c r="M482" i="1"/>
  <c r="L485" i="1"/>
  <c r="M487" i="1"/>
  <c r="M490" i="1"/>
  <c r="L493" i="1"/>
  <c r="M495" i="1"/>
  <c r="M498" i="1"/>
  <c r="L501" i="1"/>
  <c r="AA244" i="1"/>
  <c r="AA246" i="1"/>
  <c r="AA248" i="1"/>
  <c r="AA250" i="1"/>
  <c r="AA252" i="1"/>
  <c r="AA254" i="1"/>
  <c r="AA256" i="1"/>
  <c r="AA258" i="1"/>
  <c r="AA260" i="1"/>
  <c r="AA262" i="1"/>
  <c r="AB245" i="1"/>
  <c r="AB248" i="1"/>
  <c r="AA251" i="1"/>
  <c r="AB253" i="1"/>
  <c r="AB256" i="1"/>
  <c r="AA259" i="1"/>
  <c r="AB261" i="1"/>
  <c r="AA265" i="1"/>
  <c r="AA267" i="1"/>
  <c r="AB244" i="1"/>
  <c r="AB246" i="1"/>
  <c r="AB255" i="1"/>
  <c r="AB257" i="1"/>
  <c r="AB259" i="1"/>
  <c r="AA261" i="1"/>
  <c r="AA263" i="1"/>
  <c r="AA264" i="1"/>
  <c r="AB266" i="1"/>
  <c r="AA245" i="1"/>
  <c r="AA247" i="1"/>
  <c r="AA249" i="1"/>
  <c r="AB258" i="1"/>
  <c r="AB260" i="1"/>
  <c r="AB262" i="1"/>
  <c r="AB265" i="1"/>
  <c r="AA268" i="1"/>
  <c r="AA452" i="1"/>
  <c r="AA454" i="1"/>
  <c r="AA456" i="1"/>
  <c r="AA458" i="1"/>
  <c r="AA460" i="1"/>
  <c r="AA462" i="1"/>
  <c r="AA464" i="1"/>
  <c r="AA466" i="1"/>
  <c r="AA468" i="1"/>
  <c r="AA470" i="1"/>
  <c r="AA472" i="1"/>
  <c r="AA474" i="1"/>
  <c r="AA476" i="1"/>
  <c r="AB250" i="1"/>
  <c r="AB254" i="1"/>
  <c r="AB264" i="1"/>
  <c r="AB267" i="1"/>
  <c r="AB252" i="1"/>
  <c r="AB263" i="1"/>
  <c r="AB251" i="1"/>
  <c r="AA266" i="1"/>
  <c r="AA253" i="1"/>
  <c r="AB247" i="1"/>
  <c r="AA255" i="1"/>
  <c r="AA257" i="1"/>
  <c r="AB268" i="1"/>
  <c r="AB453" i="1"/>
  <c r="AB456" i="1"/>
  <c r="AA459" i="1"/>
  <c r="AB461" i="1"/>
  <c r="AB464" i="1"/>
  <c r="AA467" i="1"/>
  <c r="AB469" i="1"/>
  <c r="AB472" i="1"/>
  <c r="AA475" i="1"/>
  <c r="AB534" i="1"/>
  <c r="AB542" i="1"/>
  <c r="AB249" i="1"/>
  <c r="AB454" i="1"/>
  <c r="AA457" i="1"/>
  <c r="AB459" i="1"/>
  <c r="AB462" i="1"/>
  <c r="AA465" i="1"/>
  <c r="AB467" i="1"/>
  <c r="AB470" i="1"/>
  <c r="AA473" i="1"/>
  <c r="AB475" i="1"/>
  <c r="AB452" i="1"/>
  <c r="AA455" i="1"/>
  <c r="AB457" i="1"/>
  <c r="AB460" i="1"/>
  <c r="AA463" i="1"/>
  <c r="AB465" i="1"/>
  <c r="AB468" i="1"/>
  <c r="AA471" i="1"/>
  <c r="AB473" i="1"/>
  <c r="AB476" i="1"/>
  <c r="O244" i="1"/>
  <c r="O246" i="1"/>
  <c r="O248" i="1"/>
  <c r="O250" i="1"/>
  <c r="O252" i="1"/>
  <c r="O254" i="1"/>
  <c r="O256" i="1"/>
  <c r="O258" i="1"/>
  <c r="O260" i="1"/>
  <c r="O262" i="1"/>
  <c r="P244" i="1"/>
  <c r="O247" i="1"/>
  <c r="P249" i="1"/>
  <c r="P252" i="1"/>
  <c r="O255" i="1"/>
  <c r="P257" i="1"/>
  <c r="P260" i="1"/>
  <c r="O263" i="1"/>
  <c r="O265" i="1"/>
  <c r="O267" i="1"/>
  <c r="P246" i="1"/>
  <c r="P248" i="1"/>
  <c r="P250" i="1"/>
  <c r="P259" i="1"/>
  <c r="P261" i="1"/>
  <c r="P263" i="1"/>
  <c r="P265" i="1"/>
  <c r="O268" i="1"/>
  <c r="P245" i="1"/>
  <c r="P247" i="1"/>
  <c r="O249" i="1"/>
  <c r="O251" i="1"/>
  <c r="O253" i="1"/>
  <c r="P262" i="1"/>
  <c r="O264" i="1"/>
  <c r="P266" i="1"/>
  <c r="O452" i="1"/>
  <c r="O454" i="1"/>
  <c r="O456" i="1"/>
  <c r="O458" i="1"/>
  <c r="O460" i="1"/>
  <c r="O462" i="1"/>
  <c r="O464" i="1"/>
  <c r="O466" i="1"/>
  <c r="O468" i="1"/>
  <c r="O470" i="1"/>
  <c r="O472" i="1"/>
  <c r="O474" i="1"/>
  <c r="O476" i="1"/>
  <c r="O534" i="1"/>
  <c r="O245" i="1"/>
  <c r="P256" i="1"/>
  <c r="P268" i="1"/>
  <c r="P254" i="1"/>
  <c r="P258" i="1"/>
  <c r="O266" i="1"/>
  <c r="P253" i="1"/>
  <c r="O261" i="1"/>
  <c r="P264" i="1"/>
  <c r="P255" i="1"/>
  <c r="O257" i="1"/>
  <c r="P267" i="1"/>
  <c r="P251" i="1"/>
  <c r="O259" i="1"/>
  <c r="P452" i="1"/>
  <c r="O455" i="1"/>
  <c r="P457" i="1"/>
  <c r="P460" i="1"/>
  <c r="O463" i="1"/>
  <c r="P465" i="1"/>
  <c r="P468" i="1"/>
  <c r="O471" i="1"/>
  <c r="P473" i="1"/>
  <c r="P476" i="1"/>
  <c r="P534" i="1"/>
  <c r="P542" i="1"/>
  <c r="O453" i="1"/>
  <c r="P455" i="1"/>
  <c r="P458" i="1"/>
  <c r="O461" i="1"/>
  <c r="P463" i="1"/>
  <c r="P466" i="1"/>
  <c r="O469" i="1"/>
  <c r="P471" i="1"/>
  <c r="P474" i="1"/>
  <c r="P453" i="1"/>
  <c r="P456" i="1"/>
  <c r="O459" i="1"/>
  <c r="P461" i="1"/>
  <c r="P464" i="1"/>
  <c r="O467" i="1"/>
  <c r="P469" i="1"/>
  <c r="P472" i="1"/>
  <c r="O475" i="1"/>
  <c r="C244" i="1"/>
  <c r="C246" i="1"/>
  <c r="C248" i="1"/>
  <c r="C250" i="1"/>
  <c r="C252" i="1"/>
  <c r="C254" i="1"/>
  <c r="C256" i="1"/>
  <c r="C258" i="1"/>
  <c r="C260" i="1"/>
  <c r="C262" i="1"/>
  <c r="C264" i="1"/>
  <c r="D245" i="1"/>
  <c r="D248" i="1"/>
  <c r="C251" i="1"/>
  <c r="D253" i="1"/>
  <c r="D256" i="1"/>
  <c r="C259" i="1"/>
  <c r="D261" i="1"/>
  <c r="D264" i="1"/>
  <c r="C265" i="1"/>
  <c r="C267" i="1"/>
  <c r="D250" i="1"/>
  <c r="D252" i="1"/>
  <c r="D254" i="1"/>
  <c r="D263" i="1"/>
  <c r="D266" i="1"/>
  <c r="D247" i="1"/>
  <c r="D249" i="1"/>
  <c r="D251" i="1"/>
  <c r="C253" i="1"/>
  <c r="C255" i="1"/>
  <c r="C257" i="1"/>
  <c r="D265" i="1"/>
  <c r="C268" i="1"/>
  <c r="C452" i="1"/>
  <c r="C454" i="1"/>
  <c r="C456" i="1"/>
  <c r="C458" i="1"/>
  <c r="C460" i="1"/>
  <c r="C462" i="1"/>
  <c r="C464" i="1"/>
  <c r="C466" i="1"/>
  <c r="C468" i="1"/>
  <c r="C470" i="1"/>
  <c r="C472" i="1"/>
  <c r="C474" i="1"/>
  <c r="C476" i="1"/>
  <c r="C534" i="1"/>
  <c r="C247" i="1"/>
  <c r="D258" i="1"/>
  <c r="D262" i="1"/>
  <c r="C245" i="1"/>
  <c r="C249" i="1"/>
  <c r="D260" i="1"/>
  <c r="D267" i="1"/>
  <c r="D244" i="1"/>
  <c r="D255" i="1"/>
  <c r="C263" i="1"/>
  <c r="D268" i="1"/>
  <c r="D246" i="1"/>
  <c r="D257" i="1"/>
  <c r="C266" i="1"/>
  <c r="D259" i="1"/>
  <c r="C261" i="1"/>
  <c r="D453" i="1"/>
  <c r="D456" i="1"/>
  <c r="C459" i="1"/>
  <c r="D461" i="1"/>
  <c r="D464" i="1"/>
  <c r="C467" i="1"/>
  <c r="D469" i="1"/>
  <c r="D472" i="1"/>
  <c r="C475" i="1"/>
  <c r="D542" i="1"/>
  <c r="D454" i="1"/>
  <c r="C457" i="1"/>
  <c r="D459" i="1"/>
  <c r="D462" i="1"/>
  <c r="C465" i="1"/>
  <c r="D467" i="1"/>
  <c r="D470" i="1"/>
  <c r="C473" i="1"/>
  <c r="D475" i="1"/>
  <c r="D452" i="1"/>
  <c r="C455" i="1"/>
  <c r="D457" i="1"/>
  <c r="D460" i="1"/>
  <c r="C463" i="1"/>
  <c r="D465" i="1"/>
  <c r="D468" i="1"/>
  <c r="C471" i="1"/>
  <c r="D473" i="1"/>
  <c r="D476" i="1"/>
  <c r="D534" i="1"/>
  <c r="S218" i="1"/>
  <c r="S220" i="1"/>
  <c r="S222" i="1"/>
  <c r="S224" i="1"/>
  <c r="R219" i="1"/>
  <c r="R221" i="1"/>
  <c r="R223" i="1"/>
  <c r="R218" i="1"/>
  <c r="R222" i="1"/>
  <c r="R226" i="1"/>
  <c r="R228" i="1"/>
  <c r="R230" i="1"/>
  <c r="R232" i="1"/>
  <c r="R234" i="1"/>
  <c r="R236" i="1"/>
  <c r="R238" i="1"/>
  <c r="R240" i="1"/>
  <c r="R242" i="1"/>
  <c r="S219" i="1"/>
  <c r="S223" i="1"/>
  <c r="S226" i="1"/>
  <c r="S228" i="1"/>
  <c r="S230" i="1"/>
  <c r="S232" i="1"/>
  <c r="S234" i="1"/>
  <c r="R224" i="1"/>
  <c r="R225" i="1"/>
  <c r="R229" i="1"/>
  <c r="R233" i="1"/>
  <c r="R237" i="1"/>
  <c r="S239" i="1"/>
  <c r="S242" i="1"/>
  <c r="S227" i="1"/>
  <c r="S233" i="1"/>
  <c r="S235" i="1"/>
  <c r="S237" i="1"/>
  <c r="R239" i="1"/>
  <c r="R241" i="1"/>
  <c r="R220" i="1"/>
  <c r="S221" i="1"/>
  <c r="S225" i="1"/>
  <c r="R231" i="1"/>
  <c r="S236" i="1"/>
  <c r="S238" i="1"/>
  <c r="S240" i="1"/>
  <c r="R426" i="1"/>
  <c r="R428" i="1"/>
  <c r="R430" i="1"/>
  <c r="R432" i="1"/>
  <c r="R434" i="1"/>
  <c r="R436" i="1"/>
  <c r="R438" i="1"/>
  <c r="R440" i="1"/>
  <c r="R442" i="1"/>
  <c r="R444" i="1"/>
  <c r="R446" i="1"/>
  <c r="R448" i="1"/>
  <c r="R450" i="1"/>
  <c r="R533" i="1"/>
  <c r="S229" i="1"/>
  <c r="S241" i="1"/>
  <c r="R235" i="1"/>
  <c r="S231" i="1"/>
  <c r="S427" i="1"/>
  <c r="S430" i="1"/>
  <c r="R433" i="1"/>
  <c r="S426" i="1"/>
  <c r="R429" i="1"/>
  <c r="S431" i="1"/>
  <c r="S434" i="1"/>
  <c r="R427" i="1"/>
  <c r="R435" i="1"/>
  <c r="R437" i="1"/>
  <c r="S439" i="1"/>
  <c r="S442" i="1"/>
  <c r="R445" i="1"/>
  <c r="S447" i="1"/>
  <c r="S450" i="1"/>
  <c r="S533" i="1"/>
  <c r="S541" i="1"/>
  <c r="S433" i="1"/>
  <c r="S435" i="1"/>
  <c r="S437" i="1"/>
  <c r="S440" i="1"/>
  <c r="R443" i="1"/>
  <c r="S445" i="1"/>
  <c r="S448" i="1"/>
  <c r="R227" i="1"/>
  <c r="S429" i="1"/>
  <c r="S432" i="1"/>
  <c r="S438" i="1"/>
  <c r="R441" i="1"/>
  <c r="S443" i="1"/>
  <c r="S446" i="1"/>
  <c r="R449" i="1"/>
  <c r="V192" i="1"/>
  <c r="V194" i="1"/>
  <c r="V196" i="1"/>
  <c r="V198" i="1"/>
  <c r="V200" i="1"/>
  <c r="V202" i="1"/>
  <c r="V204" i="1"/>
  <c r="V206" i="1"/>
  <c r="V208" i="1"/>
  <c r="V210" i="1"/>
  <c r="V212" i="1"/>
  <c r="V214" i="1"/>
  <c r="V216" i="1"/>
  <c r="U193" i="1"/>
  <c r="U195" i="1"/>
  <c r="U197" i="1"/>
  <c r="U199" i="1"/>
  <c r="U201" i="1"/>
  <c r="U203" i="1"/>
  <c r="U205" i="1"/>
  <c r="U207" i="1"/>
  <c r="U209" i="1"/>
  <c r="U211" i="1"/>
  <c r="U213" i="1"/>
  <c r="U215" i="1"/>
  <c r="U192" i="1"/>
  <c r="U196" i="1"/>
  <c r="U200" i="1"/>
  <c r="U204" i="1"/>
  <c r="U208" i="1"/>
  <c r="U212" i="1"/>
  <c r="U216" i="1"/>
  <c r="V193" i="1"/>
  <c r="V197" i="1"/>
  <c r="V201" i="1"/>
  <c r="V205" i="1"/>
  <c r="V209" i="1"/>
  <c r="V213" i="1"/>
  <c r="U198" i="1"/>
  <c r="U206" i="1"/>
  <c r="U214" i="1"/>
  <c r="U210" i="1"/>
  <c r="V211" i="1"/>
  <c r="U194" i="1"/>
  <c r="V195" i="1"/>
  <c r="V207" i="1"/>
  <c r="U400" i="1"/>
  <c r="U402" i="1"/>
  <c r="U404" i="1"/>
  <c r="U406" i="1"/>
  <c r="U408" i="1"/>
  <c r="U410" i="1"/>
  <c r="U412" i="1"/>
  <c r="U414" i="1"/>
  <c r="U416" i="1"/>
  <c r="U418" i="1"/>
  <c r="U420" i="1"/>
  <c r="U422" i="1"/>
  <c r="U424" i="1"/>
  <c r="U532" i="1"/>
  <c r="V203" i="1"/>
  <c r="V215" i="1"/>
  <c r="U202" i="1"/>
  <c r="V199" i="1"/>
  <c r="V401" i="1"/>
  <c r="V404" i="1"/>
  <c r="U407" i="1"/>
  <c r="V409" i="1"/>
  <c r="V412" i="1"/>
  <c r="U415" i="1"/>
  <c r="V417" i="1"/>
  <c r="V420" i="1"/>
  <c r="U423" i="1"/>
  <c r="V402" i="1"/>
  <c r="V400" i="1"/>
  <c r="U403" i="1"/>
  <c r="V405" i="1"/>
  <c r="V408" i="1"/>
  <c r="U411" i="1"/>
  <c r="V413" i="1"/>
  <c r="V416" i="1"/>
  <c r="U419" i="1"/>
  <c r="V421" i="1"/>
  <c r="V424" i="1"/>
  <c r="V411" i="1"/>
  <c r="V414" i="1"/>
  <c r="U417" i="1"/>
  <c r="V532" i="1"/>
  <c r="V540" i="1"/>
  <c r="V407" i="1"/>
  <c r="V410" i="1"/>
  <c r="U413" i="1"/>
  <c r="V423" i="1"/>
  <c r="U401" i="1"/>
  <c r="V403" i="1"/>
  <c r="V406" i="1"/>
  <c r="U409" i="1"/>
  <c r="V419" i="1"/>
  <c r="V422" i="1"/>
  <c r="Y167" i="1"/>
  <c r="X166" i="1"/>
  <c r="Y168" i="1"/>
  <c r="Y170" i="1"/>
  <c r="Y172" i="1"/>
  <c r="Y174" i="1"/>
  <c r="Y176" i="1"/>
  <c r="Y178" i="1"/>
  <c r="Y180" i="1"/>
  <c r="Y182" i="1"/>
  <c r="Y184" i="1"/>
  <c r="Y186" i="1"/>
  <c r="Y188" i="1"/>
  <c r="Y190" i="1"/>
  <c r="Y166" i="1"/>
  <c r="X169" i="1"/>
  <c r="X171" i="1"/>
  <c r="X173" i="1"/>
  <c r="X175" i="1"/>
  <c r="X177" i="1"/>
  <c r="X179" i="1"/>
  <c r="X181" i="1"/>
  <c r="X183" i="1"/>
  <c r="X185" i="1"/>
  <c r="X187" i="1"/>
  <c r="X189" i="1"/>
  <c r="X170" i="1"/>
  <c r="X174" i="1"/>
  <c r="X178" i="1"/>
  <c r="X182" i="1"/>
  <c r="X186" i="1"/>
  <c r="X190" i="1"/>
  <c r="Y171" i="1"/>
  <c r="Y175" i="1"/>
  <c r="Y179" i="1"/>
  <c r="Y183" i="1"/>
  <c r="Y187" i="1"/>
  <c r="X172" i="1"/>
  <c r="X180" i="1"/>
  <c r="X188" i="1"/>
  <c r="X167" i="1"/>
  <c r="X184" i="1"/>
  <c r="Y185" i="1"/>
  <c r="X168" i="1"/>
  <c r="Y169" i="1"/>
  <c r="Y181" i="1"/>
  <c r="X374" i="1"/>
  <c r="X376" i="1"/>
  <c r="X378" i="1"/>
  <c r="X380" i="1"/>
  <c r="X382" i="1"/>
  <c r="X384" i="1"/>
  <c r="X386" i="1"/>
  <c r="X388" i="1"/>
  <c r="X390" i="1"/>
  <c r="X392" i="1"/>
  <c r="X394" i="1"/>
  <c r="X396" i="1"/>
  <c r="X398" i="1"/>
  <c r="X531" i="1"/>
  <c r="X176" i="1"/>
  <c r="Y177" i="1"/>
  <c r="Y189" i="1"/>
  <c r="Y173" i="1"/>
  <c r="Y378" i="1"/>
  <c r="X381" i="1"/>
  <c r="Y383" i="1"/>
  <c r="Y386" i="1"/>
  <c r="X389" i="1"/>
  <c r="Y391" i="1"/>
  <c r="Y394" i="1"/>
  <c r="X397" i="1"/>
  <c r="X375" i="1"/>
  <c r="Y376" i="1"/>
  <c r="X379" i="1"/>
  <c r="Y381" i="1"/>
  <c r="Y384" i="1"/>
  <c r="X387" i="1"/>
  <c r="Y389" i="1"/>
  <c r="Y392" i="1"/>
  <c r="X395" i="1"/>
  <c r="Y397" i="1"/>
  <c r="Y374" i="1"/>
  <c r="Y375" i="1"/>
  <c r="X377" i="1"/>
  <c r="Y379" i="1"/>
  <c r="Y382" i="1"/>
  <c r="X385" i="1"/>
  <c r="Y387" i="1"/>
  <c r="Y390" i="1"/>
  <c r="X393" i="1"/>
  <c r="Y395" i="1"/>
  <c r="Y398" i="1"/>
  <c r="Y385" i="1"/>
  <c r="X391" i="1"/>
  <c r="Y531" i="1"/>
  <c r="Y539" i="1"/>
  <c r="Y377" i="1"/>
  <c r="X383" i="1"/>
  <c r="Y396" i="1"/>
  <c r="Y388" i="1"/>
  <c r="AA140" i="1"/>
  <c r="AA142" i="1"/>
  <c r="AA144" i="1"/>
  <c r="AA146" i="1"/>
  <c r="AB141" i="1"/>
  <c r="AB144" i="1"/>
  <c r="AA147" i="1"/>
  <c r="AA149" i="1"/>
  <c r="AA151" i="1"/>
  <c r="AA153" i="1"/>
  <c r="AA155" i="1"/>
  <c r="AA157" i="1"/>
  <c r="AA159" i="1"/>
  <c r="AB142" i="1"/>
  <c r="AA145" i="1"/>
  <c r="AB147" i="1"/>
  <c r="AB149" i="1"/>
  <c r="AB151" i="1"/>
  <c r="AB153" i="1"/>
  <c r="AB155" i="1"/>
  <c r="AB157" i="1"/>
  <c r="AB159" i="1"/>
  <c r="AB161" i="1"/>
  <c r="AB163" i="1"/>
  <c r="AB143" i="1"/>
  <c r="AB146" i="1"/>
  <c r="AB150" i="1"/>
  <c r="AB154" i="1"/>
  <c r="AB158" i="1"/>
  <c r="AA161" i="1"/>
  <c r="AA164" i="1"/>
  <c r="AB145" i="1"/>
  <c r="AA148" i="1"/>
  <c r="AA152" i="1"/>
  <c r="AA156" i="1"/>
  <c r="AA162" i="1"/>
  <c r="AB164" i="1"/>
  <c r="AA143" i="1"/>
  <c r="AA154" i="1"/>
  <c r="AB160" i="1"/>
  <c r="AA163" i="1"/>
  <c r="AA141" i="1"/>
  <c r="AB148" i="1"/>
  <c r="AB156" i="1"/>
  <c r="AB162" i="1"/>
  <c r="AA150" i="1"/>
  <c r="AA349" i="1"/>
  <c r="AA351" i="1"/>
  <c r="AA353" i="1"/>
  <c r="AA355" i="1"/>
  <c r="AA357" i="1"/>
  <c r="AA359" i="1"/>
  <c r="AA361" i="1"/>
  <c r="AA363" i="1"/>
  <c r="AA365" i="1"/>
  <c r="AA367" i="1"/>
  <c r="AA369" i="1"/>
  <c r="AA371" i="1"/>
  <c r="AB140" i="1"/>
  <c r="AA348" i="1"/>
  <c r="AB350" i="1"/>
  <c r="AB353" i="1"/>
  <c r="AA356" i="1"/>
  <c r="AB358" i="1"/>
  <c r="AB361" i="1"/>
  <c r="AA364" i="1"/>
  <c r="AB366" i="1"/>
  <c r="AB369" i="1"/>
  <c r="AA372" i="1"/>
  <c r="AA530" i="1"/>
  <c r="AA158" i="1"/>
  <c r="AB355" i="1"/>
  <c r="AB357" i="1"/>
  <c r="AB359" i="1"/>
  <c r="AB368" i="1"/>
  <c r="AB370" i="1"/>
  <c r="AB372" i="1"/>
  <c r="AA160" i="1"/>
  <c r="AB352" i="1"/>
  <c r="AB354" i="1"/>
  <c r="AB356" i="1"/>
  <c r="AA358" i="1"/>
  <c r="AA360" i="1"/>
  <c r="AA362" i="1"/>
  <c r="AB371" i="1"/>
  <c r="AB152" i="1"/>
  <c r="AA350" i="1"/>
  <c r="AB363" i="1"/>
  <c r="AB367" i="1"/>
  <c r="AB360" i="1"/>
  <c r="AB364" i="1"/>
  <c r="AA368" i="1"/>
  <c r="AB351" i="1"/>
  <c r="AA352" i="1"/>
  <c r="AA354" i="1"/>
  <c r="AB365" i="1"/>
  <c r="AB349" i="1"/>
  <c r="AA366" i="1"/>
  <c r="AB530" i="1"/>
  <c r="AB538" i="1"/>
  <c r="AA370" i="1"/>
  <c r="O140" i="1"/>
  <c r="O142" i="1"/>
  <c r="O144" i="1"/>
  <c r="O146" i="1"/>
  <c r="O148" i="1"/>
  <c r="P140" i="1"/>
  <c r="O143" i="1"/>
  <c r="P145" i="1"/>
  <c r="P148" i="1"/>
  <c r="O149" i="1"/>
  <c r="O151" i="1"/>
  <c r="O153" i="1"/>
  <c r="O155" i="1"/>
  <c r="O157" i="1"/>
  <c r="O159" i="1"/>
  <c r="O141" i="1"/>
  <c r="P143" i="1"/>
  <c r="P146" i="1"/>
  <c r="P149" i="1"/>
  <c r="P151" i="1"/>
  <c r="P153" i="1"/>
  <c r="P155" i="1"/>
  <c r="P157" i="1"/>
  <c r="P159" i="1"/>
  <c r="P161" i="1"/>
  <c r="P163" i="1"/>
  <c r="P147" i="1"/>
  <c r="P150" i="1"/>
  <c r="P154" i="1"/>
  <c r="P158" i="1"/>
  <c r="P162" i="1"/>
  <c r="O152" i="1"/>
  <c r="O156" i="1"/>
  <c r="O160" i="1"/>
  <c r="O163" i="1"/>
  <c r="P141" i="1"/>
  <c r="O147" i="1"/>
  <c r="O150" i="1"/>
  <c r="O158" i="1"/>
  <c r="P164" i="1"/>
  <c r="O145" i="1"/>
  <c r="P152" i="1"/>
  <c r="P160" i="1"/>
  <c r="P144" i="1"/>
  <c r="O154" i="1"/>
  <c r="O162" i="1"/>
  <c r="O349" i="1"/>
  <c r="O351" i="1"/>
  <c r="O353" i="1"/>
  <c r="O355" i="1"/>
  <c r="O357" i="1"/>
  <c r="O359" i="1"/>
  <c r="O361" i="1"/>
  <c r="O363" i="1"/>
  <c r="O365" i="1"/>
  <c r="O367" i="1"/>
  <c r="O369" i="1"/>
  <c r="O371" i="1"/>
  <c r="P142" i="1"/>
  <c r="O161" i="1"/>
  <c r="O164" i="1"/>
  <c r="P349" i="1"/>
  <c r="O352" i="1"/>
  <c r="P354" i="1"/>
  <c r="P357" i="1"/>
  <c r="O360" i="1"/>
  <c r="P362" i="1"/>
  <c r="P365" i="1"/>
  <c r="O368" i="1"/>
  <c r="P370" i="1"/>
  <c r="O530" i="1"/>
  <c r="O348" i="1"/>
  <c r="O350" i="1"/>
  <c r="P359" i="1"/>
  <c r="P361" i="1"/>
  <c r="P363" i="1"/>
  <c r="P372" i="1"/>
  <c r="P156" i="1"/>
  <c r="P356" i="1"/>
  <c r="P358" i="1"/>
  <c r="P360" i="1"/>
  <c r="O362" i="1"/>
  <c r="O364" i="1"/>
  <c r="O366" i="1"/>
  <c r="P348" i="1"/>
  <c r="P352" i="1"/>
  <c r="P353" i="1"/>
  <c r="O354" i="1"/>
  <c r="O358" i="1"/>
  <c r="P369" i="1"/>
  <c r="P350" i="1"/>
  <c r="P351" i="1"/>
  <c r="P355" i="1"/>
  <c r="P366" i="1"/>
  <c r="O370" i="1"/>
  <c r="O356" i="1"/>
  <c r="P367" i="1"/>
  <c r="P371" i="1"/>
  <c r="P538" i="1"/>
  <c r="P364" i="1"/>
  <c r="P368" i="1"/>
  <c r="P530" i="1"/>
  <c r="R115" i="1"/>
  <c r="S116" i="1"/>
  <c r="S118" i="1"/>
  <c r="S119" i="1"/>
  <c r="S120" i="1"/>
  <c r="S121" i="1"/>
  <c r="S122" i="1"/>
  <c r="S123" i="1"/>
  <c r="S114" i="1"/>
  <c r="S115" i="1"/>
  <c r="R118" i="1"/>
  <c r="R119" i="1"/>
  <c r="R120" i="1"/>
  <c r="R121" i="1"/>
  <c r="R122" i="1"/>
  <c r="R123" i="1"/>
  <c r="R124" i="1"/>
  <c r="R125" i="1"/>
  <c r="R126" i="1"/>
  <c r="R128" i="1"/>
  <c r="R130" i="1"/>
  <c r="R132" i="1"/>
  <c r="R134" i="1"/>
  <c r="R136" i="1"/>
  <c r="R138" i="1"/>
  <c r="S127" i="1"/>
  <c r="S130" i="1"/>
  <c r="R133" i="1"/>
  <c r="R114" i="1"/>
  <c r="R116" i="1"/>
  <c r="S128" i="1"/>
  <c r="R131" i="1"/>
  <c r="S133" i="1"/>
  <c r="R117" i="1"/>
  <c r="S125" i="1"/>
  <c r="S131" i="1"/>
  <c r="S134" i="1"/>
  <c r="S135" i="1"/>
  <c r="S138" i="1"/>
  <c r="S117" i="1"/>
  <c r="R127" i="1"/>
  <c r="S136" i="1"/>
  <c r="S129" i="1"/>
  <c r="S137" i="1"/>
  <c r="S124" i="1"/>
  <c r="S126" i="1"/>
  <c r="R129" i="1"/>
  <c r="S132" i="1"/>
  <c r="R335" i="1"/>
  <c r="R337" i="1"/>
  <c r="R339" i="1"/>
  <c r="R341" i="1"/>
  <c r="R343" i="1"/>
  <c r="R345" i="1"/>
  <c r="R322" i="1"/>
  <c r="S323" i="1"/>
  <c r="R326" i="1"/>
  <c r="S327" i="1"/>
  <c r="R330" i="1"/>
  <c r="S331" i="1"/>
  <c r="R334" i="1"/>
  <c r="S336" i="1"/>
  <c r="S339" i="1"/>
  <c r="R342" i="1"/>
  <c r="S344" i="1"/>
  <c r="R529" i="1"/>
  <c r="R135" i="1"/>
  <c r="R323" i="1"/>
  <c r="S324" i="1"/>
  <c r="S325" i="1"/>
  <c r="S326" i="1"/>
  <c r="S335" i="1"/>
  <c r="S337" i="1"/>
  <c r="S346" i="1"/>
  <c r="R328" i="1"/>
  <c r="R329" i="1"/>
  <c r="R331" i="1"/>
  <c r="S332" i="1"/>
  <c r="S333" i="1"/>
  <c r="S334" i="1"/>
  <c r="R336" i="1"/>
  <c r="R338" i="1"/>
  <c r="R340" i="1"/>
  <c r="R137" i="1"/>
  <c r="R327" i="1"/>
  <c r="S341" i="1"/>
  <c r="S322" i="1"/>
  <c r="R325" i="1"/>
  <c r="S329" i="1"/>
  <c r="R332" i="1"/>
  <c r="S343" i="1"/>
  <c r="S328" i="1"/>
  <c r="S330" i="1"/>
  <c r="S338" i="1"/>
  <c r="R324" i="1"/>
  <c r="R333" i="1"/>
  <c r="S340" i="1"/>
  <c r="R344" i="1"/>
  <c r="S345" i="1"/>
  <c r="R346" i="1"/>
  <c r="S537" i="1"/>
  <c r="S342" i="1"/>
  <c r="S529" i="1"/>
  <c r="AA546" i="1"/>
  <c r="F534" i="1"/>
  <c r="P533" i="1"/>
  <c r="R530" i="1"/>
  <c r="X528" i="1"/>
  <c r="G528" i="1"/>
  <c r="S527" i="1"/>
  <c r="M526" i="1"/>
  <c r="Y525" i="1"/>
  <c r="I525" i="1"/>
  <c r="S524" i="1"/>
  <c r="Y522" i="1"/>
  <c r="J522" i="1"/>
  <c r="U521" i="1"/>
  <c r="J519" i="1"/>
  <c r="V518" i="1"/>
  <c r="F518" i="1"/>
  <c r="L516" i="1"/>
  <c r="V515" i="1"/>
  <c r="G515" i="1"/>
  <c r="R514" i="1"/>
  <c r="M513" i="1"/>
  <c r="X512" i="1"/>
  <c r="S511" i="1"/>
  <c r="Y509" i="1"/>
  <c r="J506" i="1"/>
  <c r="AA502" i="1"/>
  <c r="V501" i="1"/>
  <c r="P500" i="1"/>
  <c r="L499" i="1"/>
  <c r="AB496" i="1"/>
  <c r="X495" i="1"/>
  <c r="M493" i="1"/>
  <c r="I492" i="1"/>
  <c r="D491" i="1"/>
  <c r="Y489" i="1"/>
  <c r="U488" i="1"/>
  <c r="P487" i="1"/>
  <c r="AB483" i="1"/>
  <c r="M480" i="1"/>
  <c r="C478" i="1"/>
  <c r="Y475" i="1"/>
  <c r="S474" i="1"/>
  <c r="O473" i="1"/>
  <c r="D471" i="1"/>
  <c r="AA469" i="1"/>
  <c r="P467" i="1"/>
  <c r="L466" i="1"/>
  <c r="G465" i="1"/>
  <c r="AB463" i="1"/>
  <c r="X462" i="1"/>
  <c r="S461" i="1"/>
  <c r="D458" i="1"/>
  <c r="P454" i="1"/>
  <c r="F452" i="1"/>
  <c r="AB449" i="1"/>
  <c r="V448" i="1"/>
  <c r="R447" i="1"/>
  <c r="C444" i="1"/>
  <c r="S441" i="1"/>
  <c r="R431" i="1"/>
  <c r="V418" i="1"/>
  <c r="Y406" i="1"/>
  <c r="X400" i="1"/>
  <c r="Y380" i="1"/>
  <c r="AB362" i="1"/>
  <c r="AB348" i="1"/>
  <c r="AB278" i="1"/>
  <c r="R296" i="1"/>
  <c r="R298" i="1"/>
  <c r="R300" i="1"/>
  <c r="R302" i="1"/>
  <c r="R304" i="1"/>
  <c r="R306" i="1"/>
  <c r="R308" i="1"/>
  <c r="R310" i="1"/>
  <c r="R312" i="1"/>
  <c r="R314" i="1"/>
  <c r="R316" i="1"/>
  <c r="R318" i="1"/>
  <c r="R320" i="1"/>
  <c r="R297" i="1"/>
  <c r="S299" i="1"/>
  <c r="S302" i="1"/>
  <c r="R305" i="1"/>
  <c r="S307" i="1"/>
  <c r="S310" i="1"/>
  <c r="R313" i="1"/>
  <c r="S315" i="1"/>
  <c r="S318" i="1"/>
  <c r="R505" i="1"/>
  <c r="R507" i="1"/>
  <c r="R509" i="1"/>
  <c r="R511" i="1"/>
  <c r="R513" i="1"/>
  <c r="R515" i="1"/>
  <c r="R517" i="1"/>
  <c r="R519" i="1"/>
  <c r="R521" i="1"/>
  <c r="R523" i="1"/>
  <c r="R525" i="1"/>
  <c r="R527" i="1"/>
  <c r="S296" i="1"/>
  <c r="S298" i="1"/>
  <c r="S300" i="1"/>
  <c r="S309" i="1"/>
  <c r="S311" i="1"/>
  <c r="S313" i="1"/>
  <c r="R315" i="1"/>
  <c r="R317" i="1"/>
  <c r="R319" i="1"/>
  <c r="S297" i="1"/>
  <c r="R299" i="1"/>
  <c r="R301" i="1"/>
  <c r="R303" i="1"/>
  <c r="S312" i="1"/>
  <c r="S314" i="1"/>
  <c r="S316" i="1"/>
  <c r="S304" i="1"/>
  <c r="S308" i="1"/>
  <c r="S319" i="1"/>
  <c r="S301" i="1"/>
  <c r="S306" i="1"/>
  <c r="S317" i="1"/>
  <c r="R311" i="1"/>
  <c r="S303" i="1"/>
  <c r="S305" i="1"/>
  <c r="R307" i="1"/>
  <c r="R504" i="1"/>
  <c r="S506" i="1"/>
  <c r="S509" i="1"/>
  <c r="R512" i="1"/>
  <c r="S514" i="1"/>
  <c r="S517" i="1"/>
  <c r="R520" i="1"/>
  <c r="S522" i="1"/>
  <c r="S525" i="1"/>
  <c r="R528" i="1"/>
  <c r="S320" i="1"/>
  <c r="S504" i="1"/>
  <c r="S507" i="1"/>
  <c r="R510" i="1"/>
  <c r="R309" i="1"/>
  <c r="S505" i="1"/>
  <c r="R508" i="1"/>
  <c r="S510" i="1"/>
  <c r="S513" i="1"/>
  <c r="R516" i="1"/>
  <c r="S518" i="1"/>
  <c r="S521" i="1"/>
  <c r="R524" i="1"/>
  <c r="S526" i="1"/>
  <c r="S536" i="1"/>
  <c r="S544" i="1"/>
  <c r="F296" i="1"/>
  <c r="F298" i="1"/>
  <c r="F300" i="1"/>
  <c r="F302" i="1"/>
  <c r="F304" i="1"/>
  <c r="F306" i="1"/>
  <c r="F308" i="1"/>
  <c r="F310" i="1"/>
  <c r="F312" i="1"/>
  <c r="F314" i="1"/>
  <c r="F316" i="1"/>
  <c r="F318" i="1"/>
  <c r="F320" i="1"/>
  <c r="G298" i="1"/>
  <c r="F301" i="1"/>
  <c r="G303" i="1"/>
  <c r="G306" i="1"/>
  <c r="F309" i="1"/>
  <c r="G311" i="1"/>
  <c r="G314" i="1"/>
  <c r="F317" i="1"/>
  <c r="G319" i="1"/>
  <c r="F505" i="1"/>
  <c r="F507" i="1"/>
  <c r="F509" i="1"/>
  <c r="F511" i="1"/>
  <c r="F513" i="1"/>
  <c r="F515" i="1"/>
  <c r="F517" i="1"/>
  <c r="F519" i="1"/>
  <c r="F521" i="1"/>
  <c r="F523" i="1"/>
  <c r="F525" i="1"/>
  <c r="F527" i="1"/>
  <c r="G300" i="1"/>
  <c r="G302" i="1"/>
  <c r="G304" i="1"/>
  <c r="G313" i="1"/>
  <c r="G315" i="1"/>
  <c r="G317" i="1"/>
  <c r="F319" i="1"/>
  <c r="G297" i="1"/>
  <c r="G299" i="1"/>
  <c r="G301" i="1"/>
  <c r="F303" i="1"/>
  <c r="F305" i="1"/>
  <c r="F307" i="1"/>
  <c r="G316" i="1"/>
  <c r="G318" i="1"/>
  <c r="G320" i="1"/>
  <c r="F299" i="1"/>
  <c r="G310" i="1"/>
  <c r="G296" i="1"/>
  <c r="F297" i="1"/>
  <c r="G308" i="1"/>
  <c r="G312" i="1"/>
  <c r="G305" i="1"/>
  <c r="F313" i="1"/>
  <c r="G307" i="1"/>
  <c r="F315" i="1"/>
  <c r="G309" i="1"/>
  <c r="G505" i="1"/>
  <c r="F508" i="1"/>
  <c r="G510" i="1"/>
  <c r="G513" i="1"/>
  <c r="F516" i="1"/>
  <c r="G518" i="1"/>
  <c r="G521" i="1"/>
  <c r="F524" i="1"/>
  <c r="G526" i="1"/>
  <c r="F506" i="1"/>
  <c r="G508" i="1"/>
  <c r="F504" i="1"/>
  <c r="G506" i="1"/>
  <c r="G509" i="1"/>
  <c r="F512" i="1"/>
  <c r="G514" i="1"/>
  <c r="G517" i="1"/>
  <c r="F520" i="1"/>
  <c r="G522" i="1"/>
  <c r="G525" i="1"/>
  <c r="F528" i="1"/>
  <c r="G536" i="1"/>
  <c r="G544" i="1"/>
  <c r="U270" i="1"/>
  <c r="U272" i="1"/>
  <c r="U274" i="1"/>
  <c r="U276" i="1"/>
  <c r="U278" i="1"/>
  <c r="U280" i="1"/>
  <c r="U282" i="1"/>
  <c r="U284" i="1"/>
  <c r="U286" i="1"/>
  <c r="U288" i="1"/>
  <c r="U290" i="1"/>
  <c r="U292" i="1"/>
  <c r="U294" i="1"/>
  <c r="U271" i="1"/>
  <c r="V273" i="1"/>
  <c r="V276" i="1"/>
  <c r="U279" i="1"/>
  <c r="V281" i="1"/>
  <c r="V284" i="1"/>
  <c r="U287" i="1"/>
  <c r="V289" i="1"/>
  <c r="V292" i="1"/>
  <c r="U479" i="1"/>
  <c r="U481" i="1"/>
  <c r="U483" i="1"/>
  <c r="U485" i="1"/>
  <c r="U487" i="1"/>
  <c r="U489" i="1"/>
  <c r="U491" i="1"/>
  <c r="U493" i="1"/>
  <c r="U495" i="1"/>
  <c r="U497" i="1"/>
  <c r="U499" i="1"/>
  <c r="U501" i="1"/>
  <c r="V270" i="1"/>
  <c r="V272" i="1"/>
  <c r="V274" i="1"/>
  <c r="V283" i="1"/>
  <c r="V285" i="1"/>
  <c r="V287" i="1"/>
  <c r="U289" i="1"/>
  <c r="U291" i="1"/>
  <c r="U293" i="1"/>
  <c r="V271" i="1"/>
  <c r="U273" i="1"/>
  <c r="U275" i="1"/>
  <c r="U277" i="1"/>
  <c r="V286" i="1"/>
  <c r="V288" i="1"/>
  <c r="V290" i="1"/>
  <c r="V280" i="1"/>
  <c r="V291" i="1"/>
  <c r="V277" i="1"/>
  <c r="U281" i="1"/>
  <c r="U285" i="1"/>
  <c r="V278" i="1"/>
  <c r="V282" i="1"/>
  <c r="V293" i="1"/>
  <c r="V279" i="1"/>
  <c r="U283" i="1"/>
  <c r="V294" i="1"/>
  <c r="U478" i="1"/>
  <c r="V480" i="1"/>
  <c r="V483" i="1"/>
  <c r="U486" i="1"/>
  <c r="V488" i="1"/>
  <c r="V491" i="1"/>
  <c r="U494" i="1"/>
  <c r="V496" i="1"/>
  <c r="V499" i="1"/>
  <c r="U502" i="1"/>
  <c r="V478" i="1"/>
  <c r="V481" i="1"/>
  <c r="U484" i="1"/>
  <c r="V486" i="1"/>
  <c r="V489" i="1"/>
  <c r="U492" i="1"/>
  <c r="V494" i="1"/>
  <c r="V497" i="1"/>
  <c r="U500" i="1"/>
  <c r="V502" i="1"/>
  <c r="V275" i="1"/>
  <c r="V479" i="1"/>
  <c r="U482" i="1"/>
  <c r="V484" i="1"/>
  <c r="V487" i="1"/>
  <c r="U490" i="1"/>
  <c r="V492" i="1"/>
  <c r="V495" i="1"/>
  <c r="U498" i="1"/>
  <c r="V500" i="1"/>
  <c r="V535" i="1"/>
  <c r="V543" i="1"/>
  <c r="I270" i="1"/>
  <c r="I272" i="1"/>
  <c r="I274" i="1"/>
  <c r="I276" i="1"/>
  <c r="I278" i="1"/>
  <c r="I280" i="1"/>
  <c r="I282" i="1"/>
  <c r="I284" i="1"/>
  <c r="I286" i="1"/>
  <c r="I288" i="1"/>
  <c r="I290" i="1"/>
  <c r="I292" i="1"/>
  <c r="I294" i="1"/>
  <c r="J272" i="1"/>
  <c r="I275" i="1"/>
  <c r="J277" i="1"/>
  <c r="J280" i="1"/>
  <c r="I283" i="1"/>
  <c r="J285" i="1"/>
  <c r="J288" i="1"/>
  <c r="I291" i="1"/>
  <c r="J293" i="1"/>
  <c r="I479" i="1"/>
  <c r="I481" i="1"/>
  <c r="I483" i="1"/>
  <c r="I485" i="1"/>
  <c r="I487" i="1"/>
  <c r="I489" i="1"/>
  <c r="I491" i="1"/>
  <c r="I493" i="1"/>
  <c r="I495" i="1"/>
  <c r="I497" i="1"/>
  <c r="I499" i="1"/>
  <c r="I501" i="1"/>
  <c r="J274" i="1"/>
  <c r="J276" i="1"/>
  <c r="J278" i="1"/>
  <c r="J287" i="1"/>
  <c r="J289" i="1"/>
  <c r="J291" i="1"/>
  <c r="I293" i="1"/>
  <c r="J271" i="1"/>
  <c r="J273" i="1"/>
  <c r="J275" i="1"/>
  <c r="I277" i="1"/>
  <c r="I279" i="1"/>
  <c r="I281" i="1"/>
  <c r="J290" i="1"/>
  <c r="J292" i="1"/>
  <c r="J294" i="1"/>
  <c r="J270" i="1"/>
  <c r="I271" i="1"/>
  <c r="J282" i="1"/>
  <c r="J286" i="1"/>
  <c r="J279" i="1"/>
  <c r="J283" i="1"/>
  <c r="I287" i="1"/>
  <c r="I273" i="1"/>
  <c r="J284" i="1"/>
  <c r="I289" i="1"/>
  <c r="J281" i="1"/>
  <c r="J479" i="1"/>
  <c r="I482" i="1"/>
  <c r="J484" i="1"/>
  <c r="J487" i="1"/>
  <c r="I490" i="1"/>
  <c r="J492" i="1"/>
  <c r="J495" i="1"/>
  <c r="I498" i="1"/>
  <c r="J500" i="1"/>
  <c r="I285" i="1"/>
  <c r="I480" i="1"/>
  <c r="J482" i="1"/>
  <c r="J485" i="1"/>
  <c r="I488" i="1"/>
  <c r="J490" i="1"/>
  <c r="J493" i="1"/>
  <c r="I496" i="1"/>
  <c r="J498" i="1"/>
  <c r="J501" i="1"/>
  <c r="I478" i="1"/>
  <c r="J480" i="1"/>
  <c r="J483" i="1"/>
  <c r="I486" i="1"/>
  <c r="J488" i="1"/>
  <c r="J491" i="1"/>
  <c r="I494" i="1"/>
  <c r="J496" i="1"/>
  <c r="J499" i="1"/>
  <c r="I502" i="1"/>
  <c r="J535" i="1"/>
  <c r="J543" i="1"/>
  <c r="X245" i="1"/>
  <c r="X247" i="1"/>
  <c r="X249" i="1"/>
  <c r="X251" i="1"/>
  <c r="X253" i="1"/>
  <c r="X255" i="1"/>
  <c r="X257" i="1"/>
  <c r="X259" i="1"/>
  <c r="X261" i="1"/>
  <c r="X263" i="1"/>
  <c r="X244" i="1"/>
  <c r="Y246" i="1"/>
  <c r="Y249" i="1"/>
  <c r="X252" i="1"/>
  <c r="Y254" i="1"/>
  <c r="Y257" i="1"/>
  <c r="X260" i="1"/>
  <c r="Y262" i="1"/>
  <c r="X264" i="1"/>
  <c r="X266" i="1"/>
  <c r="X268" i="1"/>
  <c r="Y248" i="1"/>
  <c r="Y250" i="1"/>
  <c r="Y252" i="1"/>
  <c r="X254" i="1"/>
  <c r="X256" i="1"/>
  <c r="X258" i="1"/>
  <c r="X265" i="1"/>
  <c r="Y267" i="1"/>
  <c r="Y251" i="1"/>
  <c r="Y253" i="1"/>
  <c r="Y255" i="1"/>
  <c r="Y266" i="1"/>
  <c r="X453" i="1"/>
  <c r="X455" i="1"/>
  <c r="X457" i="1"/>
  <c r="X459" i="1"/>
  <c r="X461" i="1"/>
  <c r="X463" i="1"/>
  <c r="X465" i="1"/>
  <c r="X467" i="1"/>
  <c r="X469" i="1"/>
  <c r="X471" i="1"/>
  <c r="X473" i="1"/>
  <c r="X475" i="1"/>
  <c r="Y247" i="1"/>
  <c r="Y258" i="1"/>
  <c r="X262" i="1"/>
  <c r="Y245" i="1"/>
  <c r="Y256" i="1"/>
  <c r="Y260" i="1"/>
  <c r="Y265" i="1"/>
  <c r="Y268" i="1"/>
  <c r="X248" i="1"/>
  <c r="Y259" i="1"/>
  <c r="X250" i="1"/>
  <c r="Y261" i="1"/>
  <c r="Y264" i="1"/>
  <c r="Y244" i="1"/>
  <c r="Y263" i="1"/>
  <c r="X246" i="1"/>
  <c r="X267" i="1"/>
  <c r="X452" i="1"/>
  <c r="Y454" i="1"/>
  <c r="Y457" i="1"/>
  <c r="X460" i="1"/>
  <c r="Y462" i="1"/>
  <c r="Y465" i="1"/>
  <c r="X468" i="1"/>
  <c r="Y470" i="1"/>
  <c r="Y473" i="1"/>
  <c r="X476" i="1"/>
  <c r="Y452" i="1"/>
  <c r="Y455" i="1"/>
  <c r="X458" i="1"/>
  <c r="Y460" i="1"/>
  <c r="Y463" i="1"/>
  <c r="X466" i="1"/>
  <c r="Y468" i="1"/>
  <c r="Y471" i="1"/>
  <c r="X474" i="1"/>
  <c r="Y476" i="1"/>
  <c r="Y453" i="1"/>
  <c r="X456" i="1"/>
  <c r="Y458" i="1"/>
  <c r="Y461" i="1"/>
  <c r="X464" i="1"/>
  <c r="Y466" i="1"/>
  <c r="Y469" i="1"/>
  <c r="X472" i="1"/>
  <c r="Y474" i="1"/>
  <c r="Y534" i="1"/>
  <c r="Y542" i="1"/>
  <c r="L245" i="1"/>
  <c r="L247" i="1"/>
  <c r="L249" i="1"/>
  <c r="L251" i="1"/>
  <c r="L253" i="1"/>
  <c r="L255" i="1"/>
  <c r="L257" i="1"/>
  <c r="L259" i="1"/>
  <c r="L261" i="1"/>
  <c r="L263" i="1"/>
  <c r="M245" i="1"/>
  <c r="L248" i="1"/>
  <c r="M250" i="1"/>
  <c r="M253" i="1"/>
  <c r="L256" i="1"/>
  <c r="M258" i="1"/>
  <c r="M261" i="1"/>
  <c r="L264" i="1"/>
  <c r="L266" i="1"/>
  <c r="L268" i="1"/>
  <c r="M252" i="1"/>
  <c r="M254" i="1"/>
  <c r="M256" i="1"/>
  <c r="L258" i="1"/>
  <c r="L260" i="1"/>
  <c r="L262" i="1"/>
  <c r="M266" i="1"/>
  <c r="L244" i="1"/>
  <c r="L246" i="1"/>
  <c r="M255" i="1"/>
  <c r="M257" i="1"/>
  <c r="M259" i="1"/>
  <c r="L265" i="1"/>
  <c r="M267" i="1"/>
  <c r="L453" i="1"/>
  <c r="L455" i="1"/>
  <c r="L457" i="1"/>
  <c r="L459" i="1"/>
  <c r="L461" i="1"/>
  <c r="L463" i="1"/>
  <c r="L465" i="1"/>
  <c r="L467" i="1"/>
  <c r="L469" i="1"/>
  <c r="L471" i="1"/>
  <c r="L473" i="1"/>
  <c r="L475" i="1"/>
  <c r="M249" i="1"/>
  <c r="M260" i="1"/>
  <c r="M264" i="1"/>
  <c r="L267" i="1"/>
  <c r="M247" i="1"/>
  <c r="M251" i="1"/>
  <c r="M262" i="1"/>
  <c r="L250" i="1"/>
  <c r="M244" i="1"/>
  <c r="L252" i="1"/>
  <c r="M263" i="1"/>
  <c r="M268" i="1"/>
  <c r="M246" i="1"/>
  <c r="L254" i="1"/>
  <c r="M265" i="1"/>
  <c r="M248" i="1"/>
  <c r="M453" i="1"/>
  <c r="L456" i="1"/>
  <c r="M458" i="1"/>
  <c r="M461" i="1"/>
  <c r="L464" i="1"/>
  <c r="M466" i="1"/>
  <c r="M469" i="1"/>
  <c r="L472" i="1"/>
  <c r="M474" i="1"/>
  <c r="L454" i="1"/>
  <c r="M456" i="1"/>
  <c r="M459" i="1"/>
  <c r="L462" i="1"/>
  <c r="M464" i="1"/>
  <c r="M467" i="1"/>
  <c r="L470" i="1"/>
  <c r="M472" i="1"/>
  <c r="M475" i="1"/>
  <c r="L452" i="1"/>
  <c r="M454" i="1"/>
  <c r="M457" i="1"/>
  <c r="L460" i="1"/>
  <c r="M462" i="1"/>
  <c r="M465" i="1"/>
  <c r="L468" i="1"/>
  <c r="M470" i="1"/>
  <c r="M473" i="1"/>
  <c r="L476" i="1"/>
  <c r="L534" i="1"/>
  <c r="M542" i="1"/>
  <c r="AB219" i="1"/>
  <c r="AB221" i="1"/>
  <c r="AB223" i="1"/>
  <c r="AA218" i="1"/>
  <c r="AA220" i="1"/>
  <c r="AA222" i="1"/>
  <c r="AA219" i="1"/>
  <c r="AA223" i="1"/>
  <c r="AA225" i="1"/>
  <c r="AA227" i="1"/>
  <c r="AA229" i="1"/>
  <c r="AA231" i="1"/>
  <c r="AA233" i="1"/>
  <c r="AA235" i="1"/>
  <c r="AA237" i="1"/>
  <c r="AA239" i="1"/>
  <c r="AA241" i="1"/>
  <c r="AB220" i="1"/>
  <c r="AB225" i="1"/>
  <c r="AB227" i="1"/>
  <c r="AB229" i="1"/>
  <c r="AB231" i="1"/>
  <c r="AB233" i="1"/>
  <c r="AA221" i="1"/>
  <c r="AA226" i="1"/>
  <c r="AA230" i="1"/>
  <c r="AA234" i="1"/>
  <c r="AB236" i="1"/>
  <c r="AB239" i="1"/>
  <c r="AA242" i="1"/>
  <c r="AA228" i="1"/>
  <c r="AB232" i="1"/>
  <c r="AB241" i="1"/>
  <c r="AB222" i="1"/>
  <c r="AB224" i="1"/>
  <c r="AB230" i="1"/>
  <c r="AB238" i="1"/>
  <c r="AB240" i="1"/>
  <c r="AB242" i="1"/>
  <c r="AA427" i="1"/>
  <c r="AA429" i="1"/>
  <c r="AA431" i="1"/>
  <c r="AA433" i="1"/>
  <c r="AA435" i="1"/>
  <c r="AA437" i="1"/>
  <c r="AA439" i="1"/>
  <c r="AA441" i="1"/>
  <c r="AA443" i="1"/>
  <c r="AA445" i="1"/>
  <c r="AA447" i="1"/>
  <c r="AA449" i="1"/>
  <c r="AB218" i="1"/>
  <c r="AB228" i="1"/>
  <c r="AB234" i="1"/>
  <c r="AA238" i="1"/>
  <c r="AA224" i="1"/>
  <c r="AA236" i="1"/>
  <c r="AA240" i="1"/>
  <c r="AA232" i="1"/>
  <c r="AB226" i="1"/>
  <c r="AB235" i="1"/>
  <c r="AB237" i="1"/>
  <c r="AB427" i="1"/>
  <c r="AA430" i="1"/>
  <c r="AB432" i="1"/>
  <c r="AA426" i="1"/>
  <c r="AB428" i="1"/>
  <c r="AB431" i="1"/>
  <c r="AA434" i="1"/>
  <c r="AB426" i="1"/>
  <c r="AB429" i="1"/>
  <c r="AA432" i="1"/>
  <c r="AB433" i="1"/>
  <c r="AB435" i="1"/>
  <c r="AB436" i="1"/>
  <c r="AB439" i="1"/>
  <c r="AA442" i="1"/>
  <c r="AB444" i="1"/>
  <c r="AB447" i="1"/>
  <c r="AA450" i="1"/>
  <c r="AA533" i="1"/>
  <c r="AA428" i="1"/>
  <c r="AB437" i="1"/>
  <c r="AA440" i="1"/>
  <c r="AB442" i="1"/>
  <c r="AB445" i="1"/>
  <c r="AA448" i="1"/>
  <c r="AB450" i="1"/>
  <c r="AB434" i="1"/>
  <c r="AA438" i="1"/>
  <c r="AB440" i="1"/>
  <c r="AB443" i="1"/>
  <c r="AA446" i="1"/>
  <c r="AB448" i="1"/>
  <c r="AB541" i="1"/>
  <c r="P219" i="1"/>
  <c r="P221" i="1"/>
  <c r="P223" i="1"/>
  <c r="O218" i="1"/>
  <c r="O220" i="1"/>
  <c r="O222" i="1"/>
  <c r="O224" i="1"/>
  <c r="O219" i="1"/>
  <c r="O223" i="1"/>
  <c r="O225" i="1"/>
  <c r="O227" i="1"/>
  <c r="O229" i="1"/>
  <c r="O231" i="1"/>
  <c r="O233" i="1"/>
  <c r="O235" i="1"/>
  <c r="O237" i="1"/>
  <c r="O239" i="1"/>
  <c r="O241" i="1"/>
  <c r="P220" i="1"/>
  <c r="P224" i="1"/>
  <c r="P225" i="1"/>
  <c r="P227" i="1"/>
  <c r="P229" i="1"/>
  <c r="P231" i="1"/>
  <c r="P233" i="1"/>
  <c r="O226" i="1"/>
  <c r="O230" i="1"/>
  <c r="O234" i="1"/>
  <c r="P235" i="1"/>
  <c r="O238" i="1"/>
  <c r="P240" i="1"/>
  <c r="P226" i="1"/>
  <c r="O232" i="1"/>
  <c r="O236" i="1"/>
  <c r="P228" i="1"/>
  <c r="P234" i="1"/>
  <c r="P242" i="1"/>
  <c r="O427" i="1"/>
  <c r="O429" i="1"/>
  <c r="O431" i="1"/>
  <c r="O433" i="1"/>
  <c r="O435" i="1"/>
  <c r="O437" i="1"/>
  <c r="O439" i="1"/>
  <c r="O441" i="1"/>
  <c r="O443" i="1"/>
  <c r="O445" i="1"/>
  <c r="O447" i="1"/>
  <c r="O449" i="1"/>
  <c r="O221" i="1"/>
  <c r="P232" i="1"/>
  <c r="P236" i="1"/>
  <c r="O240" i="1"/>
  <c r="P222" i="1"/>
  <c r="O228" i="1"/>
  <c r="P238" i="1"/>
  <c r="O242" i="1"/>
  <c r="P230" i="1"/>
  <c r="P241" i="1"/>
  <c r="P218" i="1"/>
  <c r="P237" i="1"/>
  <c r="O426" i="1"/>
  <c r="P428" i="1"/>
  <c r="P431" i="1"/>
  <c r="P239" i="1"/>
  <c r="P427" i="1"/>
  <c r="O430" i="1"/>
  <c r="P432" i="1"/>
  <c r="P435" i="1"/>
  <c r="P430" i="1"/>
  <c r="P433" i="1"/>
  <c r="O438" i="1"/>
  <c r="P440" i="1"/>
  <c r="P443" i="1"/>
  <c r="O446" i="1"/>
  <c r="P448" i="1"/>
  <c r="P426" i="1"/>
  <c r="P429" i="1"/>
  <c r="O432" i="1"/>
  <c r="O434" i="1"/>
  <c r="O436" i="1"/>
  <c r="P438" i="1"/>
  <c r="P441" i="1"/>
  <c r="O444" i="1"/>
  <c r="P446" i="1"/>
  <c r="P449" i="1"/>
  <c r="O428" i="1"/>
  <c r="P434" i="1"/>
  <c r="P436" i="1"/>
  <c r="P439" i="1"/>
  <c r="O442" i="1"/>
  <c r="P444" i="1"/>
  <c r="P447" i="1"/>
  <c r="O450" i="1"/>
  <c r="O533" i="1"/>
  <c r="P541" i="1"/>
  <c r="D219" i="1"/>
  <c r="D221" i="1"/>
  <c r="D223" i="1"/>
  <c r="C218" i="1"/>
  <c r="C220" i="1"/>
  <c r="C222" i="1"/>
  <c r="C224" i="1"/>
  <c r="C219" i="1"/>
  <c r="C223" i="1"/>
  <c r="C225" i="1"/>
  <c r="C227" i="1"/>
  <c r="C229" i="1"/>
  <c r="C231" i="1"/>
  <c r="C233" i="1"/>
  <c r="C235" i="1"/>
  <c r="C237" i="1"/>
  <c r="C239" i="1"/>
  <c r="C241" i="1"/>
  <c r="D220" i="1"/>
  <c r="D224" i="1"/>
  <c r="D225" i="1"/>
  <c r="D227" i="1"/>
  <c r="D229" i="1"/>
  <c r="D231" i="1"/>
  <c r="D233" i="1"/>
  <c r="C221" i="1"/>
  <c r="C226" i="1"/>
  <c r="C230" i="1"/>
  <c r="C234" i="1"/>
  <c r="D236" i="1"/>
  <c r="D239" i="1"/>
  <c r="C242" i="1"/>
  <c r="D230" i="1"/>
  <c r="C236" i="1"/>
  <c r="C238" i="1"/>
  <c r="C240" i="1"/>
  <c r="D218" i="1"/>
  <c r="C228" i="1"/>
  <c r="D232" i="1"/>
  <c r="D235" i="1"/>
  <c r="D237" i="1"/>
  <c r="C427" i="1"/>
  <c r="C429" i="1"/>
  <c r="C431" i="1"/>
  <c r="C433" i="1"/>
  <c r="C435" i="1"/>
  <c r="C437" i="1"/>
  <c r="C439" i="1"/>
  <c r="C441" i="1"/>
  <c r="C443" i="1"/>
  <c r="C445" i="1"/>
  <c r="C447" i="1"/>
  <c r="C449" i="1"/>
  <c r="D238" i="1"/>
  <c r="D242" i="1"/>
  <c r="D226" i="1"/>
  <c r="C232" i="1"/>
  <c r="D240" i="1"/>
  <c r="D222" i="1"/>
  <c r="D228" i="1"/>
  <c r="D234" i="1"/>
  <c r="D427" i="1"/>
  <c r="C430" i="1"/>
  <c r="D432" i="1"/>
  <c r="D241" i="1"/>
  <c r="C426" i="1"/>
  <c r="D428" i="1"/>
  <c r="D431" i="1"/>
  <c r="C434" i="1"/>
  <c r="D436" i="1"/>
  <c r="D439" i="1"/>
  <c r="C442" i="1"/>
  <c r="D444" i="1"/>
  <c r="D447" i="1"/>
  <c r="C450" i="1"/>
  <c r="C533" i="1"/>
  <c r="D430" i="1"/>
  <c r="D433" i="1"/>
  <c r="D434" i="1"/>
  <c r="C436" i="1"/>
  <c r="D437" i="1"/>
  <c r="C440" i="1"/>
  <c r="D442" i="1"/>
  <c r="D445" i="1"/>
  <c r="C448" i="1"/>
  <c r="D450" i="1"/>
  <c r="D426" i="1"/>
  <c r="D429" i="1"/>
  <c r="C432" i="1"/>
  <c r="C438" i="1"/>
  <c r="D440" i="1"/>
  <c r="D443" i="1"/>
  <c r="C446" i="1"/>
  <c r="D448" i="1"/>
  <c r="D541" i="1"/>
  <c r="S193" i="1"/>
  <c r="S195" i="1"/>
  <c r="S197" i="1"/>
  <c r="S199" i="1"/>
  <c r="S201" i="1"/>
  <c r="S203" i="1"/>
  <c r="S205" i="1"/>
  <c r="S207" i="1"/>
  <c r="S209" i="1"/>
  <c r="S211" i="1"/>
  <c r="S213" i="1"/>
  <c r="S215" i="1"/>
  <c r="R192" i="1"/>
  <c r="R194" i="1"/>
  <c r="R196" i="1"/>
  <c r="R198" i="1"/>
  <c r="R200" i="1"/>
  <c r="R202" i="1"/>
  <c r="R204" i="1"/>
  <c r="R206" i="1"/>
  <c r="R208" i="1"/>
  <c r="R210" i="1"/>
  <c r="R212" i="1"/>
  <c r="R214" i="1"/>
  <c r="R216" i="1"/>
  <c r="R193" i="1"/>
  <c r="R197" i="1"/>
  <c r="R201" i="1"/>
  <c r="R205" i="1"/>
  <c r="R209" i="1"/>
  <c r="R213" i="1"/>
  <c r="S194" i="1"/>
  <c r="S198" i="1"/>
  <c r="S202" i="1"/>
  <c r="S206" i="1"/>
  <c r="S210" i="1"/>
  <c r="S214" i="1"/>
  <c r="R199" i="1"/>
  <c r="R207" i="1"/>
  <c r="R215" i="1"/>
  <c r="R203" i="1"/>
  <c r="S204" i="1"/>
  <c r="S216" i="1"/>
  <c r="S200" i="1"/>
  <c r="R401" i="1"/>
  <c r="R403" i="1"/>
  <c r="R405" i="1"/>
  <c r="R407" i="1"/>
  <c r="R409" i="1"/>
  <c r="R411" i="1"/>
  <c r="R413" i="1"/>
  <c r="R415" i="1"/>
  <c r="R417" i="1"/>
  <c r="R419" i="1"/>
  <c r="R421" i="1"/>
  <c r="R423" i="1"/>
  <c r="S196" i="1"/>
  <c r="S208" i="1"/>
  <c r="R195" i="1"/>
  <c r="S192" i="1"/>
  <c r="R211" i="1"/>
  <c r="S212" i="1"/>
  <c r="R400" i="1"/>
  <c r="S402" i="1"/>
  <c r="S405" i="1"/>
  <c r="R408" i="1"/>
  <c r="S410" i="1"/>
  <c r="S413" i="1"/>
  <c r="R416" i="1"/>
  <c r="S418" i="1"/>
  <c r="S421" i="1"/>
  <c r="R424" i="1"/>
  <c r="S400" i="1"/>
  <c r="S401" i="1"/>
  <c r="R404" i="1"/>
  <c r="S406" i="1"/>
  <c r="S409" i="1"/>
  <c r="R412" i="1"/>
  <c r="S414" i="1"/>
  <c r="S417" i="1"/>
  <c r="R420" i="1"/>
  <c r="S422" i="1"/>
  <c r="S404" i="1"/>
  <c r="S407" i="1"/>
  <c r="R410" i="1"/>
  <c r="S420" i="1"/>
  <c r="S423" i="1"/>
  <c r="R402" i="1"/>
  <c r="S403" i="1"/>
  <c r="R406" i="1"/>
  <c r="S416" i="1"/>
  <c r="S419" i="1"/>
  <c r="R422" i="1"/>
  <c r="S412" i="1"/>
  <c r="S415" i="1"/>
  <c r="R418" i="1"/>
  <c r="R532" i="1"/>
  <c r="S540" i="1"/>
  <c r="V166" i="1"/>
  <c r="V168" i="1"/>
  <c r="U167" i="1"/>
  <c r="V169" i="1"/>
  <c r="V171" i="1"/>
  <c r="V173" i="1"/>
  <c r="V175" i="1"/>
  <c r="V177" i="1"/>
  <c r="V179" i="1"/>
  <c r="V181" i="1"/>
  <c r="V183" i="1"/>
  <c r="V185" i="1"/>
  <c r="V187" i="1"/>
  <c r="V189" i="1"/>
  <c r="V167" i="1"/>
  <c r="U170" i="1"/>
  <c r="U172" i="1"/>
  <c r="U174" i="1"/>
  <c r="U176" i="1"/>
  <c r="U178" i="1"/>
  <c r="U180" i="1"/>
  <c r="U182" i="1"/>
  <c r="U184" i="1"/>
  <c r="U186" i="1"/>
  <c r="U188" i="1"/>
  <c r="U190" i="1"/>
  <c r="U166" i="1"/>
  <c r="U171" i="1"/>
  <c r="U175" i="1"/>
  <c r="U179" i="1"/>
  <c r="U183" i="1"/>
  <c r="U187" i="1"/>
  <c r="U168" i="1"/>
  <c r="V172" i="1"/>
  <c r="V176" i="1"/>
  <c r="V180" i="1"/>
  <c r="V184" i="1"/>
  <c r="V188" i="1"/>
  <c r="U173" i="1"/>
  <c r="U181" i="1"/>
  <c r="U189" i="1"/>
  <c r="U374" i="1"/>
  <c r="U177" i="1"/>
  <c r="V178" i="1"/>
  <c r="V190" i="1"/>
  <c r="V174" i="1"/>
  <c r="U375" i="1"/>
  <c r="U377" i="1"/>
  <c r="U379" i="1"/>
  <c r="U381" i="1"/>
  <c r="U383" i="1"/>
  <c r="U385" i="1"/>
  <c r="U387" i="1"/>
  <c r="U389" i="1"/>
  <c r="U391" i="1"/>
  <c r="U393" i="1"/>
  <c r="U395" i="1"/>
  <c r="U397" i="1"/>
  <c r="U169" i="1"/>
  <c r="V374" i="1"/>
  <c r="V170" i="1"/>
  <c r="V182" i="1"/>
  <c r="V186" i="1"/>
  <c r="V375" i="1"/>
  <c r="V376" i="1"/>
  <c r="V379" i="1"/>
  <c r="U382" i="1"/>
  <c r="V384" i="1"/>
  <c r="V387" i="1"/>
  <c r="U390" i="1"/>
  <c r="V392" i="1"/>
  <c r="V395" i="1"/>
  <c r="U398" i="1"/>
  <c r="V377" i="1"/>
  <c r="U380" i="1"/>
  <c r="V382" i="1"/>
  <c r="V385" i="1"/>
  <c r="U388" i="1"/>
  <c r="V390" i="1"/>
  <c r="V393" i="1"/>
  <c r="U396" i="1"/>
  <c r="V398" i="1"/>
  <c r="U185" i="1"/>
  <c r="U378" i="1"/>
  <c r="V380" i="1"/>
  <c r="V383" i="1"/>
  <c r="U386" i="1"/>
  <c r="V388" i="1"/>
  <c r="V391" i="1"/>
  <c r="U394" i="1"/>
  <c r="V396" i="1"/>
  <c r="V378" i="1"/>
  <c r="U384" i="1"/>
  <c r="V397" i="1"/>
  <c r="U376" i="1"/>
  <c r="V389" i="1"/>
  <c r="V381" i="1"/>
  <c r="V394" i="1"/>
  <c r="U531" i="1"/>
  <c r="V539" i="1"/>
  <c r="X141" i="1"/>
  <c r="X143" i="1"/>
  <c r="X145" i="1"/>
  <c r="X147" i="1"/>
  <c r="X140" i="1"/>
  <c r="Y142" i="1"/>
  <c r="Y145" i="1"/>
  <c r="X148" i="1"/>
  <c r="X150" i="1"/>
  <c r="X152" i="1"/>
  <c r="X154" i="1"/>
  <c r="X156" i="1"/>
  <c r="X158" i="1"/>
  <c r="Y140" i="1"/>
  <c r="Y143" i="1"/>
  <c r="X146" i="1"/>
  <c r="Y148" i="1"/>
  <c r="Y150" i="1"/>
  <c r="Y152" i="1"/>
  <c r="Y154" i="1"/>
  <c r="Y156" i="1"/>
  <c r="Y158" i="1"/>
  <c r="Y160" i="1"/>
  <c r="Y162" i="1"/>
  <c r="Y164" i="1"/>
  <c r="X142" i="1"/>
  <c r="Y151" i="1"/>
  <c r="Y155" i="1"/>
  <c r="Y159" i="1"/>
  <c r="X162" i="1"/>
  <c r="Y141" i="1"/>
  <c r="X144" i="1"/>
  <c r="X149" i="1"/>
  <c r="X153" i="1"/>
  <c r="X157" i="1"/>
  <c r="X160" i="1"/>
  <c r="X163" i="1"/>
  <c r="X155" i="1"/>
  <c r="Y147" i="1"/>
  <c r="Y149" i="1"/>
  <c r="Y157" i="1"/>
  <c r="X161" i="1"/>
  <c r="Y146" i="1"/>
  <c r="X159" i="1"/>
  <c r="X164" i="1"/>
  <c r="X348" i="1"/>
  <c r="X350" i="1"/>
  <c r="X352" i="1"/>
  <c r="X354" i="1"/>
  <c r="X356" i="1"/>
  <c r="X358" i="1"/>
  <c r="X360" i="1"/>
  <c r="X362" i="1"/>
  <c r="X364" i="1"/>
  <c r="X366" i="1"/>
  <c r="X368" i="1"/>
  <c r="X370" i="1"/>
  <c r="X372" i="1"/>
  <c r="Y163" i="1"/>
  <c r="X349" i="1"/>
  <c r="Y351" i="1"/>
  <c r="Y354" i="1"/>
  <c r="X357" i="1"/>
  <c r="Y359" i="1"/>
  <c r="Y362" i="1"/>
  <c r="X365" i="1"/>
  <c r="Y367" i="1"/>
  <c r="Y370" i="1"/>
  <c r="Y153" i="1"/>
  <c r="Y348" i="1"/>
  <c r="Y350" i="1"/>
  <c r="Y352" i="1"/>
  <c r="Y361" i="1"/>
  <c r="Y363" i="1"/>
  <c r="Y365" i="1"/>
  <c r="X367" i="1"/>
  <c r="X369" i="1"/>
  <c r="X371" i="1"/>
  <c r="X151" i="1"/>
  <c r="Y349" i="1"/>
  <c r="X351" i="1"/>
  <c r="X353" i="1"/>
  <c r="X355" i="1"/>
  <c r="Y364" i="1"/>
  <c r="Y366" i="1"/>
  <c r="Y368" i="1"/>
  <c r="Y161" i="1"/>
  <c r="Y144" i="1"/>
  <c r="Y356" i="1"/>
  <c r="Y360" i="1"/>
  <c r="Y371" i="1"/>
  <c r="Y357" i="1"/>
  <c r="X361" i="1"/>
  <c r="Y372" i="1"/>
  <c r="Y353" i="1"/>
  <c r="Y358" i="1"/>
  <c r="Y369" i="1"/>
  <c r="X363" i="1"/>
  <c r="Y355" i="1"/>
  <c r="X530" i="1"/>
  <c r="Y538" i="1"/>
  <c r="Y546" i="1"/>
  <c r="AA114" i="1"/>
  <c r="AA115" i="1"/>
  <c r="AA116" i="1"/>
  <c r="AA117" i="1"/>
  <c r="AB116" i="1"/>
  <c r="AA118" i="1"/>
  <c r="AA119" i="1"/>
  <c r="AA120" i="1"/>
  <c r="AA121" i="1"/>
  <c r="AA122" i="1"/>
  <c r="AA123" i="1"/>
  <c r="AA127" i="1"/>
  <c r="AA129" i="1"/>
  <c r="AA131" i="1"/>
  <c r="AA133" i="1"/>
  <c r="AA135" i="1"/>
  <c r="AA137" i="1"/>
  <c r="AB114" i="1"/>
  <c r="AB127" i="1"/>
  <c r="AA130" i="1"/>
  <c r="AB132" i="1"/>
  <c r="AB117" i="1"/>
  <c r="AB118" i="1"/>
  <c r="AB119" i="1"/>
  <c r="AB120" i="1"/>
  <c r="AB121" i="1"/>
  <c r="AB122" i="1"/>
  <c r="AB123" i="1"/>
  <c r="AA128" i="1"/>
  <c r="AB130" i="1"/>
  <c r="AB133" i="1"/>
  <c r="AA124" i="1"/>
  <c r="AA126" i="1"/>
  <c r="AB134" i="1"/>
  <c r="AB135" i="1"/>
  <c r="AA138" i="1"/>
  <c r="AB115" i="1"/>
  <c r="AB124" i="1"/>
  <c r="AB126" i="1"/>
  <c r="AB129" i="1"/>
  <c r="AA132" i="1"/>
  <c r="AA136" i="1"/>
  <c r="AB138" i="1"/>
  <c r="AB125" i="1"/>
  <c r="AB128" i="1"/>
  <c r="AB131" i="1"/>
  <c r="AB136" i="1"/>
  <c r="AA134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6" i="1"/>
  <c r="AA338" i="1"/>
  <c r="AA340" i="1"/>
  <c r="AA342" i="1"/>
  <c r="AA344" i="1"/>
  <c r="AA346" i="1"/>
  <c r="AB137" i="1"/>
  <c r="AB323" i="1"/>
  <c r="AB327" i="1"/>
  <c r="AB331" i="1"/>
  <c r="AB336" i="1"/>
  <c r="AA339" i="1"/>
  <c r="AB341" i="1"/>
  <c r="AB344" i="1"/>
  <c r="AB322" i="1"/>
  <c r="AB335" i="1"/>
  <c r="AB337" i="1"/>
  <c r="AB339" i="1"/>
  <c r="AA341" i="1"/>
  <c r="AA343" i="1"/>
  <c r="AA345" i="1"/>
  <c r="AA125" i="1"/>
  <c r="AB328" i="1"/>
  <c r="AB329" i="1"/>
  <c r="AB330" i="1"/>
  <c r="AB338" i="1"/>
  <c r="AB340" i="1"/>
  <c r="AB342" i="1"/>
  <c r="AB325" i="1"/>
  <c r="AB332" i="1"/>
  <c r="AB334" i="1"/>
  <c r="AB345" i="1"/>
  <c r="AB326" i="1"/>
  <c r="AB343" i="1"/>
  <c r="AA335" i="1"/>
  <c r="AB324" i="1"/>
  <c r="AB333" i="1"/>
  <c r="AB346" i="1"/>
  <c r="AA529" i="1"/>
  <c r="AB537" i="1"/>
  <c r="AB545" i="1"/>
  <c r="X560" i="1"/>
  <c r="R560" i="1"/>
  <c r="L560" i="1"/>
  <c r="F560" i="1"/>
  <c r="AA559" i="1"/>
  <c r="U559" i="1"/>
  <c r="O559" i="1"/>
  <c r="I559" i="1"/>
  <c r="C559" i="1"/>
  <c r="X558" i="1"/>
  <c r="R558" i="1"/>
  <c r="L558" i="1"/>
  <c r="F558" i="1"/>
  <c r="AA557" i="1"/>
  <c r="U557" i="1"/>
  <c r="O557" i="1"/>
  <c r="C557" i="1"/>
  <c r="X556" i="1"/>
  <c r="R556" i="1"/>
  <c r="AA555" i="1"/>
  <c r="U555" i="1"/>
  <c r="O555" i="1"/>
  <c r="X554" i="1"/>
  <c r="R554" i="1"/>
  <c r="AA553" i="1"/>
  <c r="U553" i="1"/>
  <c r="X552" i="1"/>
  <c r="R552" i="1"/>
  <c r="L552" i="1"/>
  <c r="F552" i="1"/>
  <c r="AA551" i="1"/>
  <c r="U551" i="1"/>
  <c r="O551" i="1"/>
  <c r="I551" i="1"/>
  <c r="C551" i="1"/>
  <c r="X550" i="1"/>
  <c r="R550" i="1"/>
  <c r="L550" i="1"/>
  <c r="F550" i="1"/>
  <c r="AA549" i="1"/>
  <c r="U549" i="1"/>
  <c r="O549" i="1"/>
  <c r="C549" i="1"/>
  <c r="X548" i="1"/>
  <c r="R548" i="1"/>
  <c r="AA547" i="1"/>
  <c r="U547" i="1"/>
  <c r="X546" i="1"/>
  <c r="P546" i="1"/>
  <c r="AA545" i="1"/>
  <c r="S545" i="1"/>
  <c r="X544" i="1"/>
  <c r="L544" i="1"/>
  <c r="AA543" i="1"/>
  <c r="O543" i="1"/>
  <c r="C543" i="1"/>
  <c r="R542" i="1"/>
  <c r="F542" i="1"/>
  <c r="U541" i="1"/>
  <c r="X540" i="1"/>
  <c r="AA539" i="1"/>
  <c r="O539" i="1"/>
  <c r="R538" i="1"/>
  <c r="U537" i="1"/>
  <c r="X536" i="1"/>
  <c r="L536" i="1"/>
  <c r="AA535" i="1"/>
  <c r="O535" i="1"/>
  <c r="C535" i="1"/>
  <c r="R534" i="1"/>
  <c r="AB533" i="1"/>
  <c r="X532" i="1"/>
  <c r="S528" i="1"/>
  <c r="Y526" i="1"/>
  <c r="J526" i="1"/>
  <c r="U525" i="1"/>
  <c r="J523" i="1"/>
  <c r="V522" i="1"/>
  <c r="F522" i="1"/>
  <c r="L520" i="1"/>
  <c r="V519" i="1"/>
  <c r="G519" i="1"/>
  <c r="R518" i="1"/>
  <c r="M517" i="1"/>
  <c r="X516" i="1"/>
  <c r="G516" i="1"/>
  <c r="S515" i="1"/>
  <c r="M514" i="1"/>
  <c r="Y513" i="1"/>
  <c r="I513" i="1"/>
  <c r="S512" i="1"/>
  <c r="V510" i="1"/>
  <c r="L508" i="1"/>
  <c r="G507" i="1"/>
  <c r="X504" i="1"/>
  <c r="M501" i="1"/>
  <c r="I500" i="1"/>
  <c r="D499" i="1"/>
  <c r="Y497" i="1"/>
  <c r="U496" i="1"/>
  <c r="P495" i="1"/>
  <c r="J494" i="1"/>
  <c r="AB491" i="1"/>
  <c r="V490" i="1"/>
  <c r="M488" i="1"/>
  <c r="C486" i="1"/>
  <c r="Y484" i="1"/>
  <c r="O482" i="1"/>
  <c r="J481" i="1"/>
  <c r="D480" i="1"/>
  <c r="AA478" i="1"/>
  <c r="P475" i="1"/>
  <c r="L474" i="1"/>
  <c r="G473" i="1"/>
  <c r="AB471" i="1"/>
  <c r="X470" i="1"/>
  <c r="S469" i="1"/>
  <c r="M468" i="1"/>
  <c r="D466" i="1"/>
  <c r="Y464" i="1"/>
  <c r="P462" i="1"/>
  <c r="F460" i="1"/>
  <c r="AB458" i="1"/>
  <c r="R456" i="1"/>
  <c r="M455" i="1"/>
  <c r="G454" i="1"/>
  <c r="C453" i="1"/>
  <c r="S449" i="1"/>
  <c r="O448" i="1"/>
  <c r="D446" i="1"/>
  <c r="AA444" i="1"/>
  <c r="V443" i="1"/>
  <c r="P442" i="1"/>
  <c r="AB438" i="1"/>
  <c r="S436" i="1"/>
  <c r="D435" i="1"/>
  <c r="AB430" i="1"/>
  <c r="S428" i="1"/>
  <c r="Y422" i="1"/>
  <c r="V415" i="1"/>
  <c r="S408" i="1"/>
  <c r="Y393" i="1"/>
  <c r="O372" i="1"/>
  <c r="X359" i="1"/>
  <c r="F311" i="1"/>
  <c r="S262" i="1"/>
  <c r="D696" i="1" l="1"/>
  <c r="D695" i="1"/>
  <c r="D694" i="1"/>
  <c r="AE92" i="1"/>
  <c r="AF92" i="1" s="1" a="1"/>
  <c r="AF92" i="1" s="1"/>
  <c r="AE96" i="1"/>
  <c r="AF96" i="1" s="1" a="1"/>
  <c r="AF96" i="1" s="1"/>
  <c r="AE93" i="1"/>
  <c r="AF93" i="1" s="1" a="1"/>
  <c r="AF93" i="1" s="1"/>
  <c r="AE97" i="1"/>
  <c r="AF97" i="1" s="1" a="1"/>
  <c r="AF97" i="1" s="1"/>
  <c r="AE98" i="1"/>
  <c r="AF98" i="1" s="1" a="1"/>
  <c r="AF98" i="1" s="1"/>
  <c r="AE95" i="1"/>
  <c r="AF95" i="1" s="1" a="1"/>
  <c r="AF95" i="1" s="1"/>
  <c r="AE99" i="1"/>
  <c r="AF99" i="1" s="1" a="1"/>
  <c r="AF99" i="1" s="1"/>
  <c r="F101" i="1"/>
  <c r="I101" i="1"/>
  <c r="D108" i="2"/>
  <c r="C108" i="2"/>
  <c r="C143" i="2"/>
  <c r="C107" i="1" l="1"/>
  <c r="D107" i="1" s="1"/>
  <c r="F105" i="1"/>
  <c r="G105" i="1" s="1"/>
  <c r="F110" i="1"/>
  <c r="G110" i="1" s="1"/>
  <c r="F104" i="1"/>
  <c r="G104" i="1" s="1"/>
  <c r="C106" i="1"/>
  <c r="E106" i="1" s="1"/>
  <c r="C104" i="1"/>
  <c r="D104" i="1" s="1"/>
  <c r="C103" i="1"/>
  <c r="D103" i="1" s="1"/>
  <c r="C109" i="1"/>
  <c r="E109" i="1" s="1"/>
  <c r="C108" i="1"/>
  <c r="E108" i="1" s="1"/>
  <c r="C110" i="1"/>
  <c r="D110" i="1" s="1"/>
  <c r="C105" i="1"/>
  <c r="E105" i="1" s="1"/>
  <c r="F103" i="1"/>
  <c r="G103" i="1" s="1"/>
  <c r="F106" i="1"/>
  <c r="H106" i="1" s="1"/>
  <c r="F107" i="1"/>
  <c r="H107" i="1" s="1"/>
  <c r="F109" i="1"/>
  <c r="H109" i="1" s="1"/>
  <c r="F108" i="1"/>
  <c r="G108" i="1" s="1"/>
  <c r="J694" i="1"/>
  <c r="AB694" i="1"/>
  <c r="S694" i="1"/>
  <c r="G694" i="1"/>
  <c r="Y694" i="1"/>
  <c r="V694" i="1"/>
  <c r="M694" i="1"/>
  <c r="P694" i="1"/>
  <c r="V696" i="1"/>
  <c r="AB696" i="1"/>
  <c r="J696" i="1"/>
  <c r="S696" i="1"/>
  <c r="M696" i="1"/>
  <c r="G696" i="1"/>
  <c r="P696" i="1"/>
  <c r="Y696" i="1"/>
  <c r="V695" i="1"/>
  <c r="M695" i="1"/>
  <c r="P695" i="1"/>
  <c r="S695" i="1"/>
  <c r="Y695" i="1"/>
  <c r="J695" i="1"/>
  <c r="G695" i="1"/>
  <c r="AB695" i="1"/>
  <c r="H105" i="1"/>
  <c r="E107" i="1"/>
  <c r="I104" i="1"/>
  <c r="I108" i="1"/>
  <c r="I106" i="1"/>
  <c r="I109" i="1"/>
  <c r="I110" i="1"/>
  <c r="I105" i="1"/>
  <c r="I107" i="1"/>
  <c r="I103" i="1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9" i="2"/>
  <c r="AD50" i="2"/>
  <c r="AD51" i="2"/>
  <c r="AD52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9" i="2"/>
  <c r="AC50" i="2"/>
  <c r="AC51" i="2"/>
  <c r="AC52" i="2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2" i="2"/>
  <c r="C140" i="2" s="1"/>
  <c r="E103" i="1" l="1"/>
  <c r="H110" i="1"/>
  <c r="D106" i="1"/>
  <c r="D108" i="1"/>
  <c r="H104" i="1"/>
  <c r="D109" i="1"/>
  <c r="E104" i="1"/>
  <c r="H103" i="1"/>
  <c r="E110" i="1"/>
  <c r="D105" i="1"/>
  <c r="G107" i="1"/>
  <c r="G106" i="1"/>
  <c r="G109" i="1"/>
  <c r="H108" i="1"/>
  <c r="T114" i="2"/>
  <c r="A26" i="1"/>
  <c r="J103" i="1"/>
  <c r="K103" i="1"/>
  <c r="K109" i="1"/>
  <c r="J109" i="1"/>
  <c r="J107" i="1"/>
  <c r="K107" i="1"/>
  <c r="K106" i="1"/>
  <c r="J106" i="1"/>
  <c r="J105" i="1"/>
  <c r="K105" i="1"/>
  <c r="J108" i="1"/>
  <c r="K108" i="1"/>
  <c r="K110" i="1"/>
  <c r="J110" i="1"/>
  <c r="J104" i="1"/>
  <c r="K104" i="1"/>
  <c r="O101" i="1"/>
  <c r="L101" i="1"/>
  <c r="D154" i="2" l="1"/>
  <c r="P154" i="2"/>
  <c r="H164" i="2"/>
  <c r="C164" i="2"/>
  <c r="X162" i="2"/>
  <c r="H110" i="2"/>
  <c r="H112" i="2" s="1"/>
  <c r="H142" i="2" s="1"/>
  <c r="U154" i="2"/>
  <c r="P152" i="2"/>
  <c r="U152" i="2"/>
  <c r="U110" i="2"/>
  <c r="U112" i="2" s="1"/>
  <c r="U142" i="2" s="1"/>
  <c r="K162" i="2"/>
  <c r="L110" i="2"/>
  <c r="L112" i="2" s="1"/>
  <c r="L142" i="2" s="1"/>
  <c r="C162" i="2"/>
  <c r="H162" i="2"/>
  <c r="C110" i="2"/>
  <c r="C112" i="2" s="1"/>
  <c r="C142" i="2" s="1"/>
  <c r="G114" i="2"/>
  <c r="P144" i="2"/>
  <c r="X114" i="2"/>
  <c r="C114" i="2"/>
  <c r="L144" i="2"/>
  <c r="D162" i="2"/>
  <c r="T164" i="2"/>
  <c r="L154" i="2"/>
  <c r="H154" i="2"/>
  <c r="M164" i="2"/>
  <c r="G162" i="2"/>
  <c r="K110" i="2"/>
  <c r="K112" i="2" s="1"/>
  <c r="K142" i="2" s="1"/>
  <c r="K152" i="2"/>
  <c r="Q162" i="2"/>
  <c r="K154" i="2"/>
  <c r="X110" i="2"/>
  <c r="X112" i="2" s="1"/>
  <c r="X142" i="2" s="1"/>
  <c r="K164" i="2"/>
  <c r="P110" i="2"/>
  <c r="P112" i="2" s="1"/>
  <c r="P142" i="2" s="1"/>
  <c r="C154" i="2"/>
  <c r="G152" i="2"/>
  <c r="G144" i="2"/>
  <c r="M114" i="2"/>
  <c r="X144" i="2"/>
  <c r="C144" i="2"/>
  <c r="K114" i="2"/>
  <c r="T144" i="2"/>
  <c r="X154" i="2"/>
  <c r="L164" i="2"/>
  <c r="X164" i="2"/>
  <c r="U164" i="2"/>
  <c r="M152" i="2"/>
  <c r="T152" i="2"/>
  <c r="M110" i="2"/>
  <c r="M112" i="2" s="1"/>
  <c r="M142" i="2" s="1"/>
  <c r="T110" i="2"/>
  <c r="T112" i="2" s="1"/>
  <c r="T142" i="2" s="1"/>
  <c r="P162" i="2"/>
  <c r="U162" i="2"/>
  <c r="D110" i="2"/>
  <c r="D112" i="2" s="1"/>
  <c r="D142" i="2" s="1"/>
  <c r="L152" i="2"/>
  <c r="M154" i="2"/>
  <c r="M162" i="2"/>
  <c r="G110" i="2"/>
  <c r="G112" i="2" s="1"/>
  <c r="G142" i="2" s="1"/>
  <c r="M144" i="2"/>
  <c r="U114" i="2"/>
  <c r="H114" i="2"/>
  <c r="K144" i="2"/>
  <c r="Q114" i="2"/>
  <c r="D114" i="2"/>
  <c r="T154" i="2"/>
  <c r="D164" i="2"/>
  <c r="P164" i="2"/>
  <c r="X152" i="2"/>
  <c r="Q154" i="2"/>
  <c r="G140" i="2"/>
  <c r="C167" i="2" s="1"/>
  <c r="H152" i="2"/>
  <c r="T162" i="2"/>
  <c r="D152" i="2"/>
  <c r="Q152" i="2"/>
  <c r="L162" i="2"/>
  <c r="G154" i="2"/>
  <c r="Q164" i="2"/>
  <c r="C152" i="2"/>
  <c r="Q110" i="2"/>
  <c r="Q112" i="2" s="1"/>
  <c r="Q142" i="2" s="1"/>
  <c r="U144" i="2"/>
  <c r="H144" i="2"/>
  <c r="P114" i="2"/>
  <c r="Q144" i="2"/>
  <c r="D144" i="2"/>
  <c r="G164" i="2"/>
  <c r="L114" i="2"/>
  <c r="L108" i="1"/>
  <c r="L107" i="1"/>
  <c r="L104" i="1"/>
  <c r="L103" i="1"/>
  <c r="L109" i="1"/>
  <c r="L105" i="1"/>
  <c r="L110" i="1"/>
  <c r="L106" i="1"/>
  <c r="O108" i="1"/>
  <c r="O105" i="1"/>
  <c r="O110" i="1"/>
  <c r="O109" i="1"/>
  <c r="O107" i="1"/>
  <c r="O103" i="1"/>
  <c r="O106" i="1"/>
  <c r="O104" i="1"/>
  <c r="R101" i="1"/>
  <c r="H132" i="2" l="1"/>
  <c r="M147" i="2"/>
  <c r="D127" i="2"/>
  <c r="M167" i="2"/>
  <c r="D165" i="2"/>
  <c r="X155" i="2"/>
  <c r="C138" i="2"/>
  <c r="M129" i="2"/>
  <c r="D129" i="2"/>
  <c r="H148" i="2"/>
  <c r="Q118" i="2"/>
  <c r="T133" i="2"/>
  <c r="G148" i="2"/>
  <c r="L145" i="2"/>
  <c r="K148" i="2"/>
  <c r="P156" i="2"/>
  <c r="D167" i="2"/>
  <c r="T146" i="2"/>
  <c r="Q126" i="2"/>
  <c r="X115" i="2"/>
  <c r="M137" i="2"/>
  <c r="K126" i="2"/>
  <c r="C116" i="2"/>
  <c r="P136" i="2"/>
  <c r="P139" i="2"/>
  <c r="C117" i="2"/>
  <c r="K159" i="2"/>
  <c r="H165" i="2"/>
  <c r="T155" i="2"/>
  <c r="T147" i="2"/>
  <c r="L129" i="2"/>
  <c r="L118" i="2"/>
  <c r="G131" i="2"/>
  <c r="C120" i="2"/>
  <c r="U120" i="2"/>
  <c r="C136" i="2"/>
  <c r="H139" i="2"/>
  <c r="M156" i="2"/>
  <c r="U165" i="2"/>
  <c r="C147" i="2"/>
  <c r="X157" i="2"/>
  <c r="H167" i="2"/>
  <c r="Q147" i="2"/>
  <c r="P134" i="2"/>
  <c r="U132" i="2"/>
  <c r="M138" i="2"/>
  <c r="Q129" i="2"/>
  <c r="L134" i="2"/>
  <c r="T121" i="2"/>
  <c r="T132" i="2"/>
  <c r="C156" i="2"/>
  <c r="X130" i="2"/>
  <c r="T128" i="2"/>
  <c r="U169" i="2"/>
  <c r="C168" i="2"/>
  <c r="U157" i="2"/>
  <c r="P127" i="2"/>
  <c r="T120" i="2"/>
  <c r="H119" i="2"/>
  <c r="K168" i="2"/>
  <c r="Q158" i="2"/>
  <c r="C155" i="2"/>
  <c r="Q155" i="2"/>
  <c r="K155" i="2"/>
  <c r="Q168" i="2"/>
  <c r="M165" i="2"/>
  <c r="U156" i="2"/>
  <c r="G156" i="2"/>
  <c r="U155" i="2"/>
  <c r="T134" i="2"/>
  <c r="P120" i="2"/>
  <c r="H128" i="2"/>
  <c r="T115" i="2"/>
  <c r="T124" i="2"/>
  <c r="P130" i="2"/>
  <c r="X136" i="2"/>
  <c r="P117" i="2"/>
  <c r="C132" i="2"/>
  <c r="D132" i="2"/>
  <c r="H134" i="2"/>
  <c r="T135" i="2"/>
  <c r="P118" i="2"/>
  <c r="K138" i="2"/>
  <c r="C128" i="2"/>
  <c r="P128" i="2"/>
  <c r="X119" i="2"/>
  <c r="T117" i="2"/>
  <c r="P116" i="2"/>
  <c r="D125" i="2"/>
  <c r="G132" i="2"/>
  <c r="G124" i="2"/>
  <c r="L126" i="2"/>
  <c r="L116" i="2"/>
  <c r="L115" i="2"/>
  <c r="G130" i="2"/>
  <c r="G136" i="2"/>
  <c r="L131" i="2"/>
  <c r="D123" i="2"/>
  <c r="D136" i="2"/>
  <c r="D122" i="2"/>
  <c r="Q136" i="2"/>
  <c r="G128" i="2"/>
  <c r="K137" i="2"/>
  <c r="K131" i="2"/>
  <c r="Q122" i="2"/>
  <c r="C134" i="2"/>
  <c r="K132" i="2"/>
  <c r="K124" i="2"/>
  <c r="K116" i="2"/>
  <c r="Q121" i="2"/>
  <c r="Q139" i="2"/>
  <c r="Q117" i="2"/>
  <c r="M119" i="2"/>
  <c r="C121" i="2"/>
  <c r="K136" i="2"/>
  <c r="C133" i="2"/>
  <c r="C126" i="2"/>
  <c r="M135" i="2"/>
  <c r="M122" i="2"/>
  <c r="U134" i="2"/>
  <c r="L137" i="2"/>
  <c r="M139" i="2"/>
  <c r="U117" i="2"/>
  <c r="G133" i="2"/>
  <c r="L132" i="2"/>
  <c r="M125" i="2"/>
  <c r="U136" i="2"/>
  <c r="L139" i="2"/>
  <c r="P122" i="2"/>
  <c r="P132" i="2"/>
  <c r="X116" i="2"/>
  <c r="H126" i="2"/>
  <c r="H125" i="2"/>
  <c r="H137" i="2"/>
  <c r="U129" i="2"/>
  <c r="K166" i="2"/>
  <c r="P137" i="2"/>
  <c r="G167" i="2"/>
  <c r="K169" i="2"/>
  <c r="K156" i="2"/>
  <c r="C165" i="2"/>
  <c r="G157" i="2"/>
  <c r="Q157" i="2"/>
  <c r="G168" i="2"/>
  <c r="K158" i="2"/>
  <c r="Q165" i="2"/>
  <c r="G155" i="2"/>
  <c r="X133" i="2"/>
  <c r="M166" i="2"/>
  <c r="Q167" i="2"/>
  <c r="H131" i="2"/>
  <c r="P115" i="2"/>
  <c r="T129" i="2"/>
  <c r="T118" i="2"/>
  <c r="T131" i="2"/>
  <c r="D119" i="2"/>
  <c r="D128" i="2"/>
  <c r="P119" i="2"/>
  <c r="P135" i="2"/>
  <c r="K130" i="2"/>
  <c r="H130" i="2"/>
  <c r="T122" i="2"/>
  <c r="H124" i="2"/>
  <c r="D137" i="2"/>
  <c r="U121" i="2"/>
  <c r="G126" i="2"/>
  <c r="C145" i="2"/>
  <c r="L136" i="2"/>
  <c r="U131" i="2"/>
  <c r="G115" i="2"/>
  <c r="D120" i="2"/>
  <c r="D116" i="2"/>
  <c r="K123" i="2"/>
  <c r="G135" i="2"/>
  <c r="K135" i="2"/>
  <c r="C127" i="2"/>
  <c r="C115" i="2"/>
  <c r="C131" i="2"/>
  <c r="C119" i="2"/>
  <c r="Q127" i="2"/>
  <c r="Q137" i="2"/>
  <c r="M127" i="2"/>
  <c r="K122" i="2"/>
  <c r="C135" i="2"/>
  <c r="K127" i="2"/>
  <c r="K117" i="2"/>
  <c r="U118" i="2"/>
  <c r="G119" i="2"/>
  <c r="L121" i="2"/>
  <c r="M136" i="2"/>
  <c r="U127" i="2"/>
  <c r="M118" i="2"/>
  <c r="X128" i="2"/>
  <c r="M133" i="2"/>
  <c r="Q134" i="2"/>
  <c r="U138" i="2"/>
  <c r="T137" i="2"/>
  <c r="P138" i="2"/>
  <c r="G127" i="2"/>
  <c r="L133" i="2"/>
  <c r="G125" i="2"/>
  <c r="H116" i="2"/>
  <c r="M121" i="2"/>
  <c r="Q123" i="2"/>
  <c r="L146" i="2"/>
  <c r="X149" i="2"/>
  <c r="D147" i="2"/>
  <c r="T148" i="2"/>
  <c r="Q149" i="2"/>
  <c r="K147" i="2"/>
  <c r="G147" i="2"/>
  <c r="G149" i="2"/>
  <c r="M148" i="2"/>
  <c r="U145" i="2"/>
  <c r="T149" i="2"/>
  <c r="M149" i="2"/>
  <c r="H146" i="2"/>
  <c r="P165" i="2"/>
  <c r="D159" i="2"/>
  <c r="P158" i="2"/>
  <c r="X166" i="2"/>
  <c r="L165" i="2"/>
  <c r="H159" i="2"/>
  <c r="T158" i="2"/>
  <c r="P166" i="2"/>
  <c r="L158" i="2"/>
  <c r="X165" i="2"/>
  <c r="H169" i="2"/>
  <c r="H158" i="2"/>
  <c r="T157" i="2"/>
  <c r="H168" i="2"/>
  <c r="T156" i="2"/>
  <c r="C149" i="2"/>
  <c r="C169" i="2"/>
  <c r="M155" i="2"/>
  <c r="G159" i="2"/>
  <c r="Q156" i="2"/>
  <c r="X120" i="2"/>
  <c r="U166" i="2"/>
  <c r="M157" i="2"/>
  <c r="U159" i="2"/>
  <c r="K134" i="2"/>
  <c r="D135" i="2"/>
  <c r="C166" i="2"/>
  <c r="K167" i="2"/>
  <c r="X124" i="2"/>
  <c r="K157" i="2"/>
  <c r="G169" i="2"/>
  <c r="H135" i="2"/>
  <c r="X138" i="2"/>
  <c r="X127" i="2"/>
  <c r="P124" i="2"/>
  <c r="T139" i="2"/>
  <c r="P125" i="2"/>
  <c r="D115" i="2"/>
  <c r="C125" i="2"/>
  <c r="P129" i="2"/>
  <c r="X122" i="2"/>
  <c r="K125" i="2"/>
  <c r="X131" i="2"/>
  <c r="H138" i="2"/>
  <c r="X118" i="2"/>
  <c r="U133" i="2"/>
  <c r="G122" i="2"/>
  <c r="G123" i="2"/>
  <c r="L135" i="2"/>
  <c r="L127" i="2"/>
  <c r="G129" i="2"/>
  <c r="D133" i="2"/>
  <c r="D131" i="2"/>
  <c r="K121" i="2"/>
  <c r="G134" i="2"/>
  <c r="K115" i="2"/>
  <c r="Q124" i="2"/>
  <c r="C139" i="2"/>
  <c r="C129" i="2"/>
  <c r="K118" i="2"/>
  <c r="Q128" i="2"/>
  <c r="Q132" i="2"/>
  <c r="M124" i="2"/>
  <c r="G138" i="2"/>
  <c r="U122" i="2"/>
  <c r="M116" i="2"/>
  <c r="U139" i="2"/>
  <c r="U115" i="2"/>
  <c r="U126" i="2"/>
  <c r="U124" i="2"/>
  <c r="G120" i="2"/>
  <c r="U128" i="2"/>
  <c r="U135" i="2"/>
  <c r="X135" i="2"/>
  <c r="X123" i="2"/>
  <c r="L123" i="2"/>
  <c r="T119" i="2"/>
  <c r="G146" i="2"/>
  <c r="K145" i="2"/>
  <c r="H147" i="2"/>
  <c r="D146" i="2"/>
  <c r="D149" i="2"/>
  <c r="U149" i="2"/>
  <c r="P146" i="2"/>
  <c r="X167" i="2"/>
  <c r="H166" i="2"/>
  <c r="X159" i="2"/>
  <c r="P155" i="2"/>
  <c r="D130" i="2"/>
  <c r="K119" i="2"/>
  <c r="L138" i="2"/>
  <c r="P123" i="2"/>
  <c r="X129" i="2"/>
  <c r="M131" i="2"/>
  <c r="T130" i="2"/>
  <c r="Q130" i="2"/>
  <c r="Q119" i="2"/>
  <c r="P145" i="2"/>
  <c r="Q146" i="2"/>
  <c r="X147" i="2"/>
  <c r="P148" i="2"/>
  <c r="L149" i="2"/>
  <c r="L166" i="2"/>
  <c r="D155" i="2"/>
  <c r="T159" i="2"/>
  <c r="T167" i="2"/>
  <c r="H155" i="2"/>
  <c r="L167" i="2"/>
  <c r="T166" i="2"/>
  <c r="L159" i="2"/>
  <c r="L147" i="2"/>
  <c r="L168" i="2"/>
  <c r="P157" i="2"/>
  <c r="L157" i="2"/>
  <c r="M146" i="2"/>
  <c r="U146" i="2"/>
  <c r="Q148" i="2"/>
  <c r="U119" i="2"/>
  <c r="M120" i="2"/>
  <c r="U123" i="2"/>
  <c r="L125" i="2"/>
  <c r="K139" i="2"/>
  <c r="Q133" i="2"/>
  <c r="D117" i="2"/>
  <c r="H129" i="2"/>
  <c r="C146" i="2"/>
  <c r="D157" i="2"/>
  <c r="L156" i="2"/>
  <c r="T168" i="2"/>
  <c r="D148" i="2"/>
  <c r="X117" i="2"/>
  <c r="G118" i="2"/>
  <c r="L128" i="2"/>
  <c r="C118" i="2"/>
  <c r="K133" i="2"/>
  <c r="U137" i="2"/>
  <c r="D126" i="2"/>
  <c r="L122" i="2"/>
  <c r="L130" i="2"/>
  <c r="L119" i="2"/>
  <c r="T123" i="2"/>
  <c r="H122" i="2"/>
  <c r="T116" i="2"/>
  <c r="P131" i="2"/>
  <c r="X125" i="2"/>
  <c r="X132" i="2"/>
  <c r="T127" i="2"/>
  <c r="M158" i="2"/>
  <c r="C159" i="2"/>
  <c r="M168" i="2"/>
  <c r="P126" i="2"/>
  <c r="G165" i="2"/>
  <c r="T138" i="2"/>
  <c r="C157" i="2"/>
  <c r="X126" i="2"/>
  <c r="C148" i="2"/>
  <c r="T165" i="2"/>
  <c r="L155" i="2"/>
  <c r="D156" i="2"/>
  <c r="L169" i="2"/>
  <c r="P169" i="2"/>
  <c r="U147" i="2"/>
  <c r="K149" i="2"/>
  <c r="T145" i="2"/>
  <c r="G116" i="2"/>
  <c r="U116" i="2"/>
  <c r="X139" i="2"/>
  <c r="T136" i="2"/>
  <c r="M134" i="2"/>
  <c r="K120" i="2"/>
  <c r="M126" i="2"/>
  <c r="Q115" i="2"/>
  <c r="K129" i="2"/>
  <c r="U130" i="2"/>
  <c r="L117" i="2"/>
  <c r="G121" i="2"/>
  <c r="G117" i="2"/>
  <c r="D138" i="2"/>
  <c r="P133" i="2"/>
  <c r="X121" i="2"/>
  <c r="K128" i="2"/>
  <c r="H115" i="2"/>
  <c r="H117" i="2"/>
  <c r="G166" i="2"/>
  <c r="M169" i="2"/>
  <c r="C158" i="2"/>
  <c r="G158" i="2"/>
  <c r="U167" i="2"/>
  <c r="H133" i="2"/>
  <c r="Q159" i="2"/>
  <c r="U168" i="2"/>
  <c r="P159" i="2"/>
  <c r="X168" i="2"/>
  <c r="P167" i="2"/>
  <c r="D169" i="2"/>
  <c r="P168" i="2"/>
  <c r="H156" i="2"/>
  <c r="H145" i="2"/>
  <c r="G145" i="2"/>
  <c r="P147" i="2"/>
  <c r="X148" i="2"/>
  <c r="H149" i="2"/>
  <c r="P121" i="2"/>
  <c r="L120" i="2"/>
  <c r="H127" i="2"/>
  <c r="H118" i="2"/>
  <c r="M117" i="2"/>
  <c r="G137" i="2"/>
  <c r="C123" i="2"/>
  <c r="Q125" i="2"/>
  <c r="Q135" i="2"/>
  <c r="C137" i="2"/>
  <c r="L148" i="2"/>
  <c r="H157" i="2"/>
  <c r="X158" i="2"/>
  <c r="D166" i="2"/>
  <c r="X169" i="2"/>
  <c r="T169" i="2"/>
  <c r="D158" i="2"/>
  <c r="X156" i="2"/>
  <c r="D168" i="2"/>
  <c r="X146" i="2"/>
  <c r="X145" i="2"/>
  <c r="M145" i="2"/>
  <c r="D145" i="2"/>
  <c r="Q145" i="2"/>
  <c r="K146" i="2"/>
  <c r="U148" i="2"/>
  <c r="H123" i="2"/>
  <c r="T126" i="2"/>
  <c r="M132" i="2"/>
  <c r="M115" i="2"/>
  <c r="Q138" i="2"/>
  <c r="G139" i="2"/>
  <c r="M130" i="2"/>
  <c r="L124" i="2"/>
  <c r="M128" i="2"/>
  <c r="C130" i="2"/>
  <c r="M123" i="2"/>
  <c r="Q116" i="2"/>
  <c r="C122" i="2"/>
  <c r="Q131" i="2"/>
  <c r="Q120" i="2"/>
  <c r="D121" i="2"/>
  <c r="D124" i="2"/>
  <c r="U125" i="2"/>
  <c r="P149" i="2"/>
  <c r="D118" i="2"/>
  <c r="X134" i="2"/>
  <c r="C124" i="2"/>
  <c r="X137" i="2"/>
  <c r="D139" i="2"/>
  <c r="H121" i="2"/>
  <c r="H136" i="2"/>
  <c r="H120" i="2"/>
  <c r="U158" i="2"/>
  <c r="M159" i="2"/>
  <c r="D134" i="2"/>
  <c r="Q169" i="2"/>
  <c r="T125" i="2"/>
  <c r="Q166" i="2"/>
  <c r="K165" i="2"/>
  <c r="P104" i="1"/>
  <c r="Q104" i="1"/>
  <c r="N103" i="1"/>
  <c r="M103" i="1"/>
  <c r="P106" i="1"/>
  <c r="Q106" i="1"/>
  <c r="Q110" i="1"/>
  <c r="P110" i="1"/>
  <c r="N110" i="1"/>
  <c r="M110" i="1"/>
  <c r="M104" i="1"/>
  <c r="N104" i="1"/>
  <c r="P109" i="1"/>
  <c r="Q109" i="1"/>
  <c r="M106" i="1"/>
  <c r="N106" i="1"/>
  <c r="P103" i="1"/>
  <c r="Q103" i="1"/>
  <c r="P105" i="1"/>
  <c r="Q105" i="1"/>
  <c r="N105" i="1"/>
  <c r="M105" i="1"/>
  <c r="N107" i="1"/>
  <c r="M107" i="1"/>
  <c r="R106" i="1"/>
  <c r="R109" i="1"/>
  <c r="R107" i="1"/>
  <c r="R105" i="1"/>
  <c r="R110" i="1"/>
  <c r="R103" i="1"/>
  <c r="R104" i="1"/>
  <c r="R108" i="1"/>
  <c r="Q107" i="1"/>
  <c r="P107" i="1"/>
  <c r="P108" i="1"/>
  <c r="Q108" i="1"/>
  <c r="N109" i="1"/>
  <c r="M109" i="1"/>
  <c r="N108" i="1"/>
  <c r="M108" i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3" i="2"/>
  <c r="S108" i="1" l="1"/>
  <c r="T108" i="1"/>
  <c r="T105" i="1"/>
  <c r="S105" i="1"/>
  <c r="T104" i="1"/>
  <c r="S104" i="1"/>
  <c r="T107" i="1"/>
  <c r="S107" i="1"/>
  <c r="S103" i="1"/>
  <c r="T103" i="1"/>
  <c r="S109" i="1"/>
  <c r="T109" i="1"/>
  <c r="X101" i="1"/>
  <c r="U101" i="1"/>
  <c r="S110" i="1"/>
  <c r="T110" i="1"/>
  <c r="T106" i="1"/>
  <c r="S106" i="1"/>
  <c r="D3" i="2"/>
  <c r="C3" i="2"/>
  <c r="Z17" i="1" l="1"/>
  <c r="E17" i="1"/>
  <c r="Z1" i="1"/>
  <c r="T1" i="1"/>
  <c r="L1" i="1"/>
  <c r="W17" i="1"/>
  <c r="AD1" i="1"/>
  <c r="X1" i="1"/>
  <c r="R1" i="1"/>
  <c r="I1" i="1"/>
  <c r="T17" i="1"/>
  <c r="AC1" i="1"/>
  <c r="W1" i="1"/>
  <c r="Q1" i="1"/>
  <c r="F1" i="1"/>
  <c r="Q17" i="1"/>
  <c r="AA1" i="1"/>
  <c r="U1" i="1"/>
  <c r="O1" i="1"/>
  <c r="E1" i="1"/>
  <c r="K1" i="1"/>
  <c r="N17" i="1"/>
  <c r="N1" i="1"/>
  <c r="H1" i="1"/>
  <c r="K17" i="1"/>
  <c r="X107" i="1"/>
  <c r="X104" i="1"/>
  <c r="X103" i="1"/>
  <c r="X109" i="1"/>
  <c r="X105" i="1"/>
  <c r="X106" i="1"/>
  <c r="X108" i="1"/>
  <c r="X110" i="1"/>
  <c r="AA101" i="1"/>
  <c r="U109" i="1"/>
  <c r="U107" i="1"/>
  <c r="U108" i="1"/>
  <c r="U103" i="1"/>
  <c r="U104" i="1"/>
  <c r="U110" i="1"/>
  <c r="U106" i="1"/>
  <c r="U105" i="1"/>
  <c r="R689" i="1"/>
  <c r="L693" i="1"/>
  <c r="Q696" i="1" l="1"/>
  <c r="Q692" i="1"/>
  <c r="Q689" i="1"/>
  <c r="Q695" i="1"/>
  <c r="Q691" i="1"/>
  <c r="Q693" i="1"/>
  <c r="Q694" i="1"/>
  <c r="Q690" i="1"/>
  <c r="W696" i="1"/>
  <c r="W692" i="1"/>
  <c r="W695" i="1"/>
  <c r="W691" i="1"/>
  <c r="W694" i="1"/>
  <c r="W690" i="1"/>
  <c r="W693" i="1"/>
  <c r="W689" i="1"/>
  <c r="Z696" i="1"/>
  <c r="Z692" i="1"/>
  <c r="Z689" i="1"/>
  <c r="Z695" i="1"/>
  <c r="Z691" i="1"/>
  <c r="Z694" i="1"/>
  <c r="Z690" i="1"/>
  <c r="Z693" i="1"/>
  <c r="T696" i="1"/>
  <c r="T692" i="1"/>
  <c r="T693" i="1"/>
  <c r="T695" i="1"/>
  <c r="T691" i="1"/>
  <c r="T694" i="1"/>
  <c r="T690" i="1"/>
  <c r="T689" i="1"/>
  <c r="AC696" i="1"/>
  <c r="AC692" i="1"/>
  <c r="AC689" i="1"/>
  <c r="AC695" i="1"/>
  <c r="AC691" i="1"/>
  <c r="AC694" i="1"/>
  <c r="AC690" i="1"/>
  <c r="AC693" i="1"/>
  <c r="F693" i="1"/>
  <c r="D693" i="1" s="1"/>
  <c r="O689" i="1"/>
  <c r="C692" i="1"/>
  <c r="C690" i="1"/>
  <c r="C691" i="1"/>
  <c r="I691" i="1"/>
  <c r="I692" i="1"/>
  <c r="I690" i="1"/>
  <c r="F691" i="1"/>
  <c r="F690" i="1"/>
  <c r="F692" i="1"/>
  <c r="I689" i="1"/>
  <c r="I565" i="1"/>
  <c r="L691" i="1"/>
  <c r="L692" i="1"/>
  <c r="L690" i="1"/>
  <c r="L689" i="1"/>
  <c r="C689" i="1"/>
  <c r="F689" i="1"/>
  <c r="V106" i="1"/>
  <c r="W106" i="1"/>
  <c r="V108" i="1"/>
  <c r="W108" i="1"/>
  <c r="Y110" i="1"/>
  <c r="Z110" i="1"/>
  <c r="Y109" i="1"/>
  <c r="Z109" i="1"/>
  <c r="W110" i="1"/>
  <c r="V110" i="1"/>
  <c r="V107" i="1"/>
  <c r="W107" i="1"/>
  <c r="Z108" i="1"/>
  <c r="Y108" i="1"/>
  <c r="Z103" i="1"/>
  <c r="Y103" i="1"/>
  <c r="W104" i="1"/>
  <c r="V104" i="1"/>
  <c r="W109" i="1"/>
  <c r="V109" i="1"/>
  <c r="Y106" i="1"/>
  <c r="Z106" i="1"/>
  <c r="Z104" i="1"/>
  <c r="Y104" i="1"/>
  <c r="W105" i="1"/>
  <c r="V105" i="1"/>
  <c r="V103" i="1"/>
  <c r="W103" i="1"/>
  <c r="AA108" i="1"/>
  <c r="AA110" i="1"/>
  <c r="AA105" i="1"/>
  <c r="AA103" i="1"/>
  <c r="AA109" i="1"/>
  <c r="AA106" i="1"/>
  <c r="AA107" i="1"/>
  <c r="AA104" i="1"/>
  <c r="Y105" i="1"/>
  <c r="Z105" i="1"/>
  <c r="Z107" i="1"/>
  <c r="Y107" i="1"/>
  <c r="P607" i="1"/>
  <c r="O607" i="1" s="1"/>
  <c r="P609" i="1"/>
  <c r="O609" i="1" s="1"/>
  <c r="P617" i="1"/>
  <c r="O617" i="1" s="1"/>
  <c r="P621" i="1"/>
  <c r="O621" i="1" s="1"/>
  <c r="P623" i="1"/>
  <c r="O623" i="1" s="1"/>
  <c r="P625" i="1"/>
  <c r="O625" i="1" s="1"/>
  <c r="P631" i="1"/>
  <c r="O631" i="1" s="1"/>
  <c r="P633" i="1"/>
  <c r="O633" i="1" s="1"/>
  <c r="P635" i="1"/>
  <c r="O635" i="1" s="1"/>
  <c r="P637" i="1"/>
  <c r="O637" i="1" s="1"/>
  <c r="P639" i="1"/>
  <c r="O639" i="1" s="1"/>
  <c r="P641" i="1"/>
  <c r="O641" i="1" s="1"/>
  <c r="P643" i="1"/>
  <c r="O643" i="1" s="1"/>
  <c r="P645" i="1"/>
  <c r="O645" i="1" s="1"/>
  <c r="P647" i="1"/>
  <c r="O647" i="1" s="1"/>
  <c r="P651" i="1"/>
  <c r="O651" i="1" s="1"/>
  <c r="P653" i="1"/>
  <c r="O653" i="1" s="1"/>
  <c r="P663" i="1"/>
  <c r="O663" i="1" s="1"/>
  <c r="P569" i="1"/>
  <c r="O569" i="1" s="1"/>
  <c r="P571" i="1"/>
  <c r="O571" i="1" s="1"/>
  <c r="P573" i="1"/>
  <c r="O573" i="1" s="1"/>
  <c r="P575" i="1"/>
  <c r="O575" i="1" s="1"/>
  <c r="P577" i="1"/>
  <c r="O577" i="1" s="1"/>
  <c r="P579" i="1"/>
  <c r="O579" i="1" s="1"/>
  <c r="P581" i="1"/>
  <c r="O581" i="1" s="1"/>
  <c r="P583" i="1"/>
  <c r="O583" i="1" s="1"/>
  <c r="P585" i="1"/>
  <c r="O585" i="1" s="1"/>
  <c r="P587" i="1"/>
  <c r="O587" i="1" s="1"/>
  <c r="P589" i="1"/>
  <c r="O589" i="1" s="1"/>
  <c r="P591" i="1"/>
  <c r="O591" i="1" s="1"/>
  <c r="P593" i="1"/>
  <c r="O593" i="1" s="1"/>
  <c r="P595" i="1"/>
  <c r="O595" i="1" s="1"/>
  <c r="P597" i="1"/>
  <c r="O597" i="1" s="1"/>
  <c r="P599" i="1"/>
  <c r="O599" i="1" s="1"/>
  <c r="P601" i="1"/>
  <c r="O601" i="1" s="1"/>
  <c r="P603" i="1"/>
  <c r="O603" i="1" s="1"/>
  <c r="P605" i="1"/>
  <c r="O605" i="1" s="1"/>
  <c r="P611" i="1"/>
  <c r="O611" i="1" s="1"/>
  <c r="P613" i="1"/>
  <c r="O613" i="1" s="1"/>
  <c r="P615" i="1"/>
  <c r="O615" i="1" s="1"/>
  <c r="P619" i="1"/>
  <c r="O619" i="1" s="1"/>
  <c r="P627" i="1"/>
  <c r="O627" i="1" s="1"/>
  <c r="P629" i="1"/>
  <c r="O629" i="1" s="1"/>
  <c r="P649" i="1"/>
  <c r="O649" i="1" s="1"/>
  <c r="P655" i="1"/>
  <c r="O655" i="1" s="1"/>
  <c r="P657" i="1"/>
  <c r="O657" i="1" s="1"/>
  <c r="P659" i="1"/>
  <c r="O659" i="1" s="1"/>
  <c r="P661" i="1"/>
  <c r="O661" i="1" s="1"/>
  <c r="P572" i="1"/>
  <c r="O572" i="1" s="1"/>
  <c r="P576" i="1"/>
  <c r="O576" i="1" s="1"/>
  <c r="P580" i="1"/>
  <c r="O580" i="1" s="1"/>
  <c r="P584" i="1"/>
  <c r="O584" i="1" s="1"/>
  <c r="P588" i="1"/>
  <c r="O588" i="1" s="1"/>
  <c r="P592" i="1"/>
  <c r="O592" i="1" s="1"/>
  <c r="P596" i="1"/>
  <c r="O596" i="1" s="1"/>
  <c r="P600" i="1"/>
  <c r="O600" i="1" s="1"/>
  <c r="P604" i="1"/>
  <c r="O604" i="1" s="1"/>
  <c r="P608" i="1"/>
  <c r="O608" i="1" s="1"/>
  <c r="P612" i="1"/>
  <c r="O612" i="1" s="1"/>
  <c r="P616" i="1"/>
  <c r="O616" i="1" s="1"/>
  <c r="P618" i="1"/>
  <c r="O618" i="1" s="1"/>
  <c r="P620" i="1"/>
  <c r="O620" i="1" s="1"/>
  <c r="P622" i="1"/>
  <c r="O622" i="1" s="1"/>
  <c r="P624" i="1"/>
  <c r="O624" i="1" s="1"/>
  <c r="P626" i="1"/>
  <c r="O626" i="1" s="1"/>
  <c r="P628" i="1"/>
  <c r="O628" i="1" s="1"/>
  <c r="P630" i="1"/>
  <c r="O630" i="1" s="1"/>
  <c r="P632" i="1"/>
  <c r="O632" i="1" s="1"/>
  <c r="P634" i="1"/>
  <c r="O634" i="1" s="1"/>
  <c r="P636" i="1"/>
  <c r="O636" i="1" s="1"/>
  <c r="P638" i="1"/>
  <c r="O638" i="1" s="1"/>
  <c r="P640" i="1"/>
  <c r="O640" i="1" s="1"/>
  <c r="P642" i="1"/>
  <c r="O642" i="1" s="1"/>
  <c r="P644" i="1"/>
  <c r="O644" i="1" s="1"/>
  <c r="P646" i="1"/>
  <c r="O646" i="1" s="1"/>
  <c r="P648" i="1"/>
  <c r="O648" i="1" s="1"/>
  <c r="P650" i="1"/>
  <c r="O650" i="1" s="1"/>
  <c r="P652" i="1"/>
  <c r="O652" i="1" s="1"/>
  <c r="P654" i="1"/>
  <c r="O654" i="1" s="1"/>
  <c r="P656" i="1"/>
  <c r="O656" i="1" s="1"/>
  <c r="P658" i="1"/>
  <c r="O658" i="1" s="1"/>
  <c r="P660" i="1"/>
  <c r="O660" i="1" s="1"/>
  <c r="P662" i="1"/>
  <c r="O662" i="1" s="1"/>
  <c r="P664" i="1"/>
  <c r="O664" i="1" s="1"/>
  <c r="P570" i="1"/>
  <c r="O570" i="1" s="1"/>
  <c r="P578" i="1"/>
  <c r="O578" i="1" s="1"/>
  <c r="P586" i="1"/>
  <c r="O586" i="1" s="1"/>
  <c r="P598" i="1"/>
  <c r="O598" i="1" s="1"/>
  <c r="P610" i="1"/>
  <c r="O610" i="1" s="1"/>
  <c r="P574" i="1"/>
  <c r="O574" i="1" s="1"/>
  <c r="P582" i="1"/>
  <c r="O582" i="1" s="1"/>
  <c r="P590" i="1"/>
  <c r="O590" i="1" s="1"/>
  <c r="P594" i="1"/>
  <c r="O594" i="1" s="1"/>
  <c r="P602" i="1"/>
  <c r="O602" i="1" s="1"/>
  <c r="P606" i="1"/>
  <c r="O606" i="1" s="1"/>
  <c r="P614" i="1"/>
  <c r="O614" i="1" s="1"/>
  <c r="Y606" i="1"/>
  <c r="X606" i="1" s="1"/>
  <c r="Y612" i="1"/>
  <c r="X612" i="1" s="1"/>
  <c r="Y616" i="1"/>
  <c r="X616" i="1" s="1"/>
  <c r="Y622" i="1"/>
  <c r="X622" i="1" s="1"/>
  <c r="Y624" i="1"/>
  <c r="X624" i="1" s="1"/>
  <c r="Y626" i="1"/>
  <c r="X626" i="1" s="1"/>
  <c r="Y630" i="1"/>
  <c r="X630" i="1" s="1"/>
  <c r="Y632" i="1"/>
  <c r="X632" i="1" s="1"/>
  <c r="Y634" i="1"/>
  <c r="X634" i="1" s="1"/>
  <c r="Y638" i="1"/>
  <c r="X638" i="1" s="1"/>
  <c r="Y640" i="1"/>
  <c r="X640" i="1" s="1"/>
  <c r="Y642" i="1"/>
  <c r="X642" i="1" s="1"/>
  <c r="Y644" i="1"/>
  <c r="X644" i="1" s="1"/>
  <c r="Y656" i="1"/>
  <c r="X656" i="1" s="1"/>
  <c r="Y658" i="1"/>
  <c r="X658" i="1" s="1"/>
  <c r="Y664" i="1"/>
  <c r="X664" i="1" s="1"/>
  <c r="Y570" i="1"/>
  <c r="X570" i="1" s="1"/>
  <c r="Y572" i="1"/>
  <c r="X572" i="1" s="1"/>
  <c r="Y574" i="1"/>
  <c r="X574" i="1" s="1"/>
  <c r="Y576" i="1"/>
  <c r="X576" i="1" s="1"/>
  <c r="Y578" i="1"/>
  <c r="X578" i="1" s="1"/>
  <c r="Y580" i="1"/>
  <c r="X580" i="1" s="1"/>
  <c r="Y582" i="1"/>
  <c r="X582" i="1" s="1"/>
  <c r="Y584" i="1"/>
  <c r="X584" i="1" s="1"/>
  <c r="Y586" i="1"/>
  <c r="X586" i="1" s="1"/>
  <c r="Y588" i="1"/>
  <c r="X588" i="1" s="1"/>
  <c r="Y590" i="1"/>
  <c r="X590" i="1" s="1"/>
  <c r="Y592" i="1"/>
  <c r="X592" i="1" s="1"/>
  <c r="Y594" i="1"/>
  <c r="X594" i="1" s="1"/>
  <c r="Y596" i="1"/>
  <c r="X596" i="1" s="1"/>
  <c r="Y598" i="1"/>
  <c r="X598" i="1" s="1"/>
  <c r="Y600" i="1"/>
  <c r="X600" i="1" s="1"/>
  <c r="Y602" i="1"/>
  <c r="X602" i="1" s="1"/>
  <c r="Y604" i="1"/>
  <c r="X604" i="1" s="1"/>
  <c r="Y608" i="1"/>
  <c r="X608" i="1" s="1"/>
  <c r="Y610" i="1"/>
  <c r="X610" i="1" s="1"/>
  <c r="Y614" i="1"/>
  <c r="X614" i="1" s="1"/>
  <c r="Y618" i="1"/>
  <c r="X618" i="1" s="1"/>
  <c r="Y620" i="1"/>
  <c r="X620" i="1" s="1"/>
  <c r="Y628" i="1"/>
  <c r="X628" i="1" s="1"/>
  <c r="Y636" i="1"/>
  <c r="X636" i="1" s="1"/>
  <c r="Y646" i="1"/>
  <c r="X646" i="1" s="1"/>
  <c r="Y648" i="1"/>
  <c r="X648" i="1" s="1"/>
  <c r="Y650" i="1"/>
  <c r="X650" i="1" s="1"/>
  <c r="Y652" i="1"/>
  <c r="X652" i="1" s="1"/>
  <c r="Y654" i="1"/>
  <c r="X654" i="1" s="1"/>
  <c r="Y660" i="1"/>
  <c r="X660" i="1" s="1"/>
  <c r="Y662" i="1"/>
  <c r="X662" i="1" s="1"/>
  <c r="Y571" i="1"/>
  <c r="X571" i="1" s="1"/>
  <c r="Y575" i="1"/>
  <c r="X575" i="1" s="1"/>
  <c r="Y579" i="1"/>
  <c r="X579" i="1" s="1"/>
  <c r="Y583" i="1"/>
  <c r="X583" i="1" s="1"/>
  <c r="Y587" i="1"/>
  <c r="X587" i="1" s="1"/>
  <c r="Y591" i="1"/>
  <c r="X591" i="1" s="1"/>
  <c r="Y595" i="1"/>
  <c r="X595" i="1" s="1"/>
  <c r="Y599" i="1"/>
  <c r="X599" i="1" s="1"/>
  <c r="Y603" i="1"/>
  <c r="X603" i="1" s="1"/>
  <c r="Y607" i="1"/>
  <c r="X607" i="1" s="1"/>
  <c r="Y611" i="1"/>
  <c r="X611" i="1" s="1"/>
  <c r="Y615" i="1"/>
  <c r="X615" i="1" s="1"/>
  <c r="Y577" i="1"/>
  <c r="X577" i="1" s="1"/>
  <c r="Y585" i="1"/>
  <c r="X585" i="1" s="1"/>
  <c r="Y597" i="1"/>
  <c r="X597" i="1" s="1"/>
  <c r="Y609" i="1"/>
  <c r="X609" i="1" s="1"/>
  <c r="Y621" i="1"/>
  <c r="X621" i="1" s="1"/>
  <c r="Y625" i="1"/>
  <c r="X625" i="1" s="1"/>
  <c r="Y629" i="1"/>
  <c r="X629" i="1" s="1"/>
  <c r="Y633" i="1"/>
  <c r="X633" i="1" s="1"/>
  <c r="Y637" i="1"/>
  <c r="X637" i="1" s="1"/>
  <c r="Y641" i="1"/>
  <c r="X641" i="1" s="1"/>
  <c r="Y645" i="1"/>
  <c r="X645" i="1" s="1"/>
  <c r="Y647" i="1"/>
  <c r="X647" i="1" s="1"/>
  <c r="Y651" i="1"/>
  <c r="X651" i="1" s="1"/>
  <c r="Y655" i="1"/>
  <c r="X655" i="1" s="1"/>
  <c r="Y657" i="1"/>
  <c r="X657" i="1" s="1"/>
  <c r="Y661" i="1"/>
  <c r="X661" i="1" s="1"/>
  <c r="Y569" i="1"/>
  <c r="X569" i="1" s="1"/>
  <c r="Y573" i="1"/>
  <c r="X573" i="1" s="1"/>
  <c r="Y581" i="1"/>
  <c r="X581" i="1" s="1"/>
  <c r="Y589" i="1"/>
  <c r="X589" i="1" s="1"/>
  <c r="Y593" i="1"/>
  <c r="X593" i="1" s="1"/>
  <c r="Y601" i="1"/>
  <c r="X601" i="1" s="1"/>
  <c r="Y605" i="1"/>
  <c r="X605" i="1" s="1"/>
  <c r="Y613" i="1"/>
  <c r="X613" i="1" s="1"/>
  <c r="Y617" i="1"/>
  <c r="X617" i="1" s="1"/>
  <c r="Y619" i="1"/>
  <c r="X619" i="1" s="1"/>
  <c r="Y623" i="1"/>
  <c r="X623" i="1" s="1"/>
  <c r="Y627" i="1"/>
  <c r="X627" i="1" s="1"/>
  <c r="Y631" i="1"/>
  <c r="X631" i="1" s="1"/>
  <c r="Y635" i="1"/>
  <c r="X635" i="1" s="1"/>
  <c r="Y639" i="1"/>
  <c r="X639" i="1" s="1"/>
  <c r="Y643" i="1"/>
  <c r="X643" i="1" s="1"/>
  <c r="Y649" i="1"/>
  <c r="X649" i="1" s="1"/>
  <c r="Y653" i="1"/>
  <c r="X653" i="1" s="1"/>
  <c r="Y659" i="1"/>
  <c r="X659" i="1" s="1"/>
  <c r="Y663" i="1"/>
  <c r="X663" i="1" s="1"/>
  <c r="M602" i="1"/>
  <c r="L602" i="1" s="1"/>
  <c r="M606" i="1"/>
  <c r="L606" i="1" s="1"/>
  <c r="M612" i="1"/>
  <c r="L612" i="1" s="1"/>
  <c r="M616" i="1"/>
  <c r="L616" i="1" s="1"/>
  <c r="M622" i="1"/>
  <c r="L622" i="1" s="1"/>
  <c r="M626" i="1"/>
  <c r="L626" i="1" s="1"/>
  <c r="M630" i="1"/>
  <c r="L630" i="1" s="1"/>
  <c r="M638" i="1"/>
  <c r="L638" i="1" s="1"/>
  <c r="M640" i="1"/>
  <c r="L640" i="1" s="1"/>
  <c r="M644" i="1"/>
  <c r="L644" i="1" s="1"/>
  <c r="M656" i="1"/>
  <c r="L656" i="1" s="1"/>
  <c r="M658" i="1"/>
  <c r="L658" i="1" s="1"/>
  <c r="M570" i="1"/>
  <c r="L570" i="1" s="1"/>
  <c r="M572" i="1"/>
  <c r="L572" i="1" s="1"/>
  <c r="M574" i="1"/>
  <c r="L574" i="1" s="1"/>
  <c r="M576" i="1"/>
  <c r="L576" i="1" s="1"/>
  <c r="M578" i="1"/>
  <c r="L578" i="1" s="1"/>
  <c r="M580" i="1"/>
  <c r="L580" i="1" s="1"/>
  <c r="M582" i="1"/>
  <c r="L582" i="1" s="1"/>
  <c r="M584" i="1"/>
  <c r="L584" i="1" s="1"/>
  <c r="M586" i="1"/>
  <c r="L586" i="1" s="1"/>
  <c r="M588" i="1"/>
  <c r="L588" i="1" s="1"/>
  <c r="M590" i="1"/>
  <c r="L590" i="1" s="1"/>
  <c r="M592" i="1"/>
  <c r="L592" i="1" s="1"/>
  <c r="M594" i="1"/>
  <c r="L594" i="1" s="1"/>
  <c r="M596" i="1"/>
  <c r="L596" i="1" s="1"/>
  <c r="M598" i="1"/>
  <c r="L598" i="1" s="1"/>
  <c r="M600" i="1"/>
  <c r="L600" i="1" s="1"/>
  <c r="M604" i="1"/>
  <c r="L604" i="1" s="1"/>
  <c r="M608" i="1"/>
  <c r="L608" i="1" s="1"/>
  <c r="M610" i="1"/>
  <c r="L610" i="1" s="1"/>
  <c r="M614" i="1"/>
  <c r="L614" i="1" s="1"/>
  <c r="M618" i="1"/>
  <c r="L618" i="1" s="1"/>
  <c r="M620" i="1"/>
  <c r="L620" i="1" s="1"/>
  <c r="M624" i="1"/>
  <c r="L624" i="1" s="1"/>
  <c r="M628" i="1"/>
  <c r="L628" i="1" s="1"/>
  <c r="M632" i="1"/>
  <c r="L632" i="1" s="1"/>
  <c r="M634" i="1"/>
  <c r="L634" i="1" s="1"/>
  <c r="M636" i="1"/>
  <c r="L636" i="1" s="1"/>
  <c r="M642" i="1"/>
  <c r="L642" i="1" s="1"/>
  <c r="M646" i="1"/>
  <c r="L646" i="1" s="1"/>
  <c r="M648" i="1"/>
  <c r="L648" i="1" s="1"/>
  <c r="M650" i="1"/>
  <c r="L650" i="1" s="1"/>
  <c r="M652" i="1"/>
  <c r="L652" i="1" s="1"/>
  <c r="M654" i="1"/>
  <c r="L654" i="1" s="1"/>
  <c r="M660" i="1"/>
  <c r="L660" i="1" s="1"/>
  <c r="M662" i="1"/>
  <c r="L662" i="1" s="1"/>
  <c r="M664" i="1"/>
  <c r="L664" i="1" s="1"/>
  <c r="M569" i="1"/>
  <c r="L569" i="1" s="1"/>
  <c r="M573" i="1"/>
  <c r="L573" i="1" s="1"/>
  <c r="M577" i="1"/>
  <c r="L577" i="1" s="1"/>
  <c r="M581" i="1"/>
  <c r="L581" i="1" s="1"/>
  <c r="M585" i="1"/>
  <c r="L585" i="1" s="1"/>
  <c r="M589" i="1"/>
  <c r="L589" i="1" s="1"/>
  <c r="M593" i="1"/>
  <c r="L593" i="1" s="1"/>
  <c r="M597" i="1"/>
  <c r="L597" i="1" s="1"/>
  <c r="M601" i="1"/>
  <c r="L601" i="1" s="1"/>
  <c r="M605" i="1"/>
  <c r="L605" i="1" s="1"/>
  <c r="M609" i="1"/>
  <c r="L609" i="1" s="1"/>
  <c r="M613" i="1"/>
  <c r="L613" i="1" s="1"/>
  <c r="M617" i="1"/>
  <c r="L617" i="1" s="1"/>
  <c r="M619" i="1"/>
  <c r="L619" i="1" s="1"/>
  <c r="M621" i="1"/>
  <c r="L621" i="1" s="1"/>
  <c r="M623" i="1"/>
  <c r="L623" i="1" s="1"/>
  <c r="M625" i="1"/>
  <c r="L625" i="1" s="1"/>
  <c r="M627" i="1"/>
  <c r="L627" i="1" s="1"/>
  <c r="M629" i="1"/>
  <c r="L629" i="1" s="1"/>
  <c r="M631" i="1"/>
  <c r="L631" i="1" s="1"/>
  <c r="M633" i="1"/>
  <c r="L633" i="1" s="1"/>
  <c r="M635" i="1"/>
  <c r="L635" i="1" s="1"/>
  <c r="M637" i="1"/>
  <c r="L637" i="1" s="1"/>
  <c r="M639" i="1"/>
  <c r="L639" i="1" s="1"/>
  <c r="M641" i="1"/>
  <c r="L641" i="1" s="1"/>
  <c r="M643" i="1"/>
  <c r="L643" i="1" s="1"/>
  <c r="M645" i="1"/>
  <c r="L645" i="1" s="1"/>
  <c r="M647" i="1"/>
  <c r="L647" i="1" s="1"/>
  <c r="M649" i="1"/>
  <c r="L649" i="1" s="1"/>
  <c r="M651" i="1"/>
  <c r="L651" i="1" s="1"/>
  <c r="M653" i="1"/>
  <c r="L653" i="1" s="1"/>
  <c r="M655" i="1"/>
  <c r="L655" i="1" s="1"/>
  <c r="M657" i="1"/>
  <c r="L657" i="1" s="1"/>
  <c r="M659" i="1"/>
  <c r="L659" i="1" s="1"/>
  <c r="M661" i="1"/>
  <c r="L661" i="1" s="1"/>
  <c r="M663" i="1"/>
  <c r="L663" i="1" s="1"/>
  <c r="M571" i="1"/>
  <c r="L571" i="1" s="1"/>
  <c r="M579" i="1"/>
  <c r="L579" i="1" s="1"/>
  <c r="M587" i="1"/>
  <c r="L587" i="1" s="1"/>
  <c r="M599" i="1"/>
  <c r="L599" i="1" s="1"/>
  <c r="M611" i="1"/>
  <c r="L611" i="1" s="1"/>
  <c r="M575" i="1"/>
  <c r="L575" i="1" s="1"/>
  <c r="M583" i="1"/>
  <c r="L583" i="1" s="1"/>
  <c r="M591" i="1"/>
  <c r="L591" i="1" s="1"/>
  <c r="M595" i="1"/>
  <c r="L595" i="1" s="1"/>
  <c r="M603" i="1"/>
  <c r="L603" i="1" s="1"/>
  <c r="M607" i="1"/>
  <c r="L607" i="1" s="1"/>
  <c r="M615" i="1"/>
  <c r="L615" i="1" s="1"/>
  <c r="J611" i="1"/>
  <c r="I611" i="1" s="1"/>
  <c r="J613" i="1"/>
  <c r="I613" i="1" s="1"/>
  <c r="J617" i="1"/>
  <c r="I617" i="1" s="1"/>
  <c r="J619" i="1"/>
  <c r="I619" i="1" s="1"/>
  <c r="J623" i="1"/>
  <c r="I623" i="1" s="1"/>
  <c r="J627" i="1"/>
  <c r="I627" i="1" s="1"/>
  <c r="J629" i="1"/>
  <c r="I629" i="1" s="1"/>
  <c r="J631" i="1"/>
  <c r="I631" i="1" s="1"/>
  <c r="J633" i="1"/>
  <c r="I633" i="1" s="1"/>
  <c r="J635" i="1"/>
  <c r="I635" i="1" s="1"/>
  <c r="J639" i="1"/>
  <c r="I639" i="1" s="1"/>
  <c r="J641" i="1"/>
  <c r="I641" i="1" s="1"/>
  <c r="J645" i="1"/>
  <c r="I645" i="1" s="1"/>
  <c r="J649" i="1"/>
  <c r="I649" i="1" s="1"/>
  <c r="J655" i="1"/>
  <c r="I655" i="1" s="1"/>
  <c r="J657" i="1"/>
  <c r="I657" i="1" s="1"/>
  <c r="J659" i="1"/>
  <c r="I659" i="1" s="1"/>
  <c r="J661" i="1"/>
  <c r="I661" i="1" s="1"/>
  <c r="J569" i="1"/>
  <c r="I569" i="1" s="1"/>
  <c r="J571" i="1"/>
  <c r="I571" i="1" s="1"/>
  <c r="J573" i="1"/>
  <c r="I573" i="1" s="1"/>
  <c r="J575" i="1"/>
  <c r="I575" i="1" s="1"/>
  <c r="J577" i="1"/>
  <c r="I577" i="1" s="1"/>
  <c r="J579" i="1"/>
  <c r="I579" i="1" s="1"/>
  <c r="J581" i="1"/>
  <c r="I581" i="1" s="1"/>
  <c r="J583" i="1"/>
  <c r="I583" i="1" s="1"/>
  <c r="J585" i="1"/>
  <c r="I585" i="1" s="1"/>
  <c r="J587" i="1"/>
  <c r="I587" i="1" s="1"/>
  <c r="J589" i="1"/>
  <c r="I589" i="1" s="1"/>
  <c r="J591" i="1"/>
  <c r="I591" i="1" s="1"/>
  <c r="J593" i="1"/>
  <c r="I593" i="1" s="1"/>
  <c r="J595" i="1"/>
  <c r="I595" i="1" s="1"/>
  <c r="J597" i="1"/>
  <c r="I597" i="1" s="1"/>
  <c r="J599" i="1"/>
  <c r="I599" i="1" s="1"/>
  <c r="J601" i="1"/>
  <c r="I601" i="1" s="1"/>
  <c r="J603" i="1"/>
  <c r="I603" i="1" s="1"/>
  <c r="J605" i="1"/>
  <c r="I605" i="1" s="1"/>
  <c r="J607" i="1"/>
  <c r="I607" i="1" s="1"/>
  <c r="J609" i="1"/>
  <c r="I609" i="1" s="1"/>
  <c r="J615" i="1"/>
  <c r="I615" i="1" s="1"/>
  <c r="J621" i="1"/>
  <c r="I621" i="1" s="1"/>
  <c r="J625" i="1"/>
  <c r="I625" i="1" s="1"/>
  <c r="J637" i="1"/>
  <c r="I637" i="1" s="1"/>
  <c r="J643" i="1"/>
  <c r="I643" i="1" s="1"/>
  <c r="J647" i="1"/>
  <c r="I647" i="1" s="1"/>
  <c r="J651" i="1"/>
  <c r="I651" i="1" s="1"/>
  <c r="J653" i="1"/>
  <c r="I653" i="1" s="1"/>
  <c r="J663" i="1"/>
  <c r="I663" i="1" s="1"/>
  <c r="J572" i="1"/>
  <c r="I572" i="1" s="1"/>
  <c r="J576" i="1"/>
  <c r="I576" i="1" s="1"/>
  <c r="J580" i="1"/>
  <c r="I580" i="1" s="1"/>
  <c r="J584" i="1"/>
  <c r="I584" i="1" s="1"/>
  <c r="J588" i="1"/>
  <c r="I588" i="1" s="1"/>
  <c r="J592" i="1"/>
  <c r="I592" i="1" s="1"/>
  <c r="J596" i="1"/>
  <c r="I596" i="1" s="1"/>
  <c r="J600" i="1"/>
  <c r="I600" i="1" s="1"/>
  <c r="J604" i="1"/>
  <c r="I604" i="1" s="1"/>
  <c r="J608" i="1"/>
  <c r="I608" i="1" s="1"/>
  <c r="J612" i="1"/>
  <c r="I612" i="1" s="1"/>
  <c r="J616" i="1"/>
  <c r="I616" i="1" s="1"/>
  <c r="J570" i="1"/>
  <c r="I570" i="1" s="1"/>
  <c r="J574" i="1"/>
  <c r="I574" i="1" s="1"/>
  <c r="J578" i="1"/>
  <c r="I578" i="1" s="1"/>
  <c r="J582" i="1"/>
  <c r="I582" i="1" s="1"/>
  <c r="J586" i="1"/>
  <c r="I586" i="1" s="1"/>
  <c r="J590" i="1"/>
  <c r="I590" i="1" s="1"/>
  <c r="J594" i="1"/>
  <c r="I594" i="1" s="1"/>
  <c r="J598" i="1"/>
  <c r="I598" i="1" s="1"/>
  <c r="J602" i="1"/>
  <c r="I602" i="1" s="1"/>
  <c r="J606" i="1"/>
  <c r="I606" i="1" s="1"/>
  <c r="J610" i="1"/>
  <c r="I610" i="1" s="1"/>
  <c r="J614" i="1"/>
  <c r="I614" i="1" s="1"/>
  <c r="J618" i="1"/>
  <c r="I618" i="1" s="1"/>
  <c r="J620" i="1"/>
  <c r="I620" i="1" s="1"/>
  <c r="J622" i="1"/>
  <c r="I622" i="1" s="1"/>
  <c r="J624" i="1"/>
  <c r="I624" i="1" s="1"/>
  <c r="J626" i="1"/>
  <c r="I626" i="1" s="1"/>
  <c r="J628" i="1"/>
  <c r="I628" i="1" s="1"/>
  <c r="J630" i="1"/>
  <c r="I630" i="1" s="1"/>
  <c r="J632" i="1"/>
  <c r="I632" i="1" s="1"/>
  <c r="J634" i="1"/>
  <c r="I634" i="1" s="1"/>
  <c r="J636" i="1"/>
  <c r="I636" i="1" s="1"/>
  <c r="J638" i="1"/>
  <c r="I638" i="1" s="1"/>
  <c r="J640" i="1"/>
  <c r="I640" i="1" s="1"/>
  <c r="J642" i="1"/>
  <c r="I642" i="1" s="1"/>
  <c r="J644" i="1"/>
  <c r="I644" i="1" s="1"/>
  <c r="J646" i="1"/>
  <c r="I646" i="1" s="1"/>
  <c r="J648" i="1"/>
  <c r="I648" i="1" s="1"/>
  <c r="J650" i="1"/>
  <c r="I650" i="1" s="1"/>
  <c r="J652" i="1"/>
  <c r="I652" i="1" s="1"/>
  <c r="J654" i="1"/>
  <c r="I654" i="1" s="1"/>
  <c r="J656" i="1"/>
  <c r="I656" i="1" s="1"/>
  <c r="J658" i="1"/>
  <c r="I658" i="1" s="1"/>
  <c r="J660" i="1"/>
  <c r="I660" i="1" s="1"/>
  <c r="J662" i="1"/>
  <c r="I662" i="1" s="1"/>
  <c r="J664" i="1"/>
  <c r="I664" i="1" s="1"/>
  <c r="G606" i="1"/>
  <c r="F606" i="1" s="1"/>
  <c r="G612" i="1"/>
  <c r="F612" i="1" s="1"/>
  <c r="G616" i="1"/>
  <c r="F616" i="1" s="1"/>
  <c r="G622" i="1"/>
  <c r="F622" i="1" s="1"/>
  <c r="G626" i="1"/>
  <c r="F626" i="1" s="1"/>
  <c r="G630" i="1"/>
  <c r="F630" i="1" s="1"/>
  <c r="G638" i="1"/>
  <c r="F638" i="1" s="1"/>
  <c r="G640" i="1"/>
  <c r="F640" i="1" s="1"/>
  <c r="G644" i="1"/>
  <c r="F644" i="1" s="1"/>
  <c r="G656" i="1"/>
  <c r="F656" i="1" s="1"/>
  <c r="G658" i="1"/>
  <c r="F658" i="1" s="1"/>
  <c r="G570" i="1"/>
  <c r="F570" i="1" s="1"/>
  <c r="G572" i="1"/>
  <c r="F572" i="1" s="1"/>
  <c r="G574" i="1"/>
  <c r="F574" i="1" s="1"/>
  <c r="G576" i="1"/>
  <c r="F576" i="1" s="1"/>
  <c r="G578" i="1"/>
  <c r="F578" i="1" s="1"/>
  <c r="G580" i="1"/>
  <c r="F580" i="1" s="1"/>
  <c r="G582" i="1"/>
  <c r="F582" i="1" s="1"/>
  <c r="G584" i="1"/>
  <c r="F584" i="1" s="1"/>
  <c r="G586" i="1"/>
  <c r="F586" i="1" s="1"/>
  <c r="G588" i="1"/>
  <c r="F588" i="1" s="1"/>
  <c r="G590" i="1"/>
  <c r="F590" i="1" s="1"/>
  <c r="G592" i="1"/>
  <c r="F592" i="1" s="1"/>
  <c r="G594" i="1"/>
  <c r="F594" i="1" s="1"/>
  <c r="G596" i="1"/>
  <c r="F596" i="1" s="1"/>
  <c r="G598" i="1"/>
  <c r="F598" i="1" s="1"/>
  <c r="G600" i="1"/>
  <c r="F600" i="1" s="1"/>
  <c r="G602" i="1"/>
  <c r="F602" i="1" s="1"/>
  <c r="G604" i="1"/>
  <c r="F604" i="1" s="1"/>
  <c r="G608" i="1"/>
  <c r="F608" i="1" s="1"/>
  <c r="G610" i="1"/>
  <c r="F610" i="1" s="1"/>
  <c r="G614" i="1"/>
  <c r="F614" i="1" s="1"/>
  <c r="G618" i="1"/>
  <c r="F618" i="1" s="1"/>
  <c r="G620" i="1"/>
  <c r="F620" i="1" s="1"/>
  <c r="G624" i="1"/>
  <c r="F624" i="1" s="1"/>
  <c r="G628" i="1"/>
  <c r="F628" i="1" s="1"/>
  <c r="G632" i="1"/>
  <c r="F632" i="1" s="1"/>
  <c r="G634" i="1"/>
  <c r="F634" i="1" s="1"/>
  <c r="G636" i="1"/>
  <c r="F636" i="1" s="1"/>
  <c r="G642" i="1"/>
  <c r="F642" i="1" s="1"/>
  <c r="G646" i="1"/>
  <c r="F646" i="1" s="1"/>
  <c r="G648" i="1"/>
  <c r="F648" i="1" s="1"/>
  <c r="G650" i="1"/>
  <c r="F650" i="1" s="1"/>
  <c r="G652" i="1"/>
  <c r="F652" i="1" s="1"/>
  <c r="G654" i="1"/>
  <c r="F654" i="1" s="1"/>
  <c r="G660" i="1"/>
  <c r="F660" i="1" s="1"/>
  <c r="G662" i="1"/>
  <c r="F662" i="1" s="1"/>
  <c r="G664" i="1"/>
  <c r="F664" i="1" s="1"/>
  <c r="G569" i="1"/>
  <c r="F569" i="1" s="1"/>
  <c r="G573" i="1"/>
  <c r="F573" i="1" s="1"/>
  <c r="G577" i="1"/>
  <c r="F577" i="1" s="1"/>
  <c r="G581" i="1"/>
  <c r="F581" i="1" s="1"/>
  <c r="G585" i="1"/>
  <c r="F585" i="1" s="1"/>
  <c r="G589" i="1"/>
  <c r="F589" i="1" s="1"/>
  <c r="G593" i="1"/>
  <c r="F593" i="1" s="1"/>
  <c r="G597" i="1"/>
  <c r="F597" i="1" s="1"/>
  <c r="G601" i="1"/>
  <c r="F601" i="1" s="1"/>
  <c r="G605" i="1"/>
  <c r="F605" i="1" s="1"/>
  <c r="G609" i="1"/>
  <c r="F609" i="1" s="1"/>
  <c r="G613" i="1"/>
  <c r="F613" i="1" s="1"/>
  <c r="G571" i="1"/>
  <c r="F571" i="1" s="1"/>
  <c r="G575" i="1"/>
  <c r="F575" i="1" s="1"/>
  <c r="G579" i="1"/>
  <c r="F579" i="1" s="1"/>
  <c r="G583" i="1"/>
  <c r="F583" i="1" s="1"/>
  <c r="G587" i="1"/>
  <c r="F587" i="1" s="1"/>
  <c r="G591" i="1"/>
  <c r="F591" i="1" s="1"/>
  <c r="G595" i="1"/>
  <c r="F595" i="1" s="1"/>
  <c r="G599" i="1"/>
  <c r="F599" i="1" s="1"/>
  <c r="G603" i="1"/>
  <c r="F603" i="1" s="1"/>
  <c r="G607" i="1"/>
  <c r="F607" i="1" s="1"/>
  <c r="G611" i="1"/>
  <c r="F611" i="1" s="1"/>
  <c r="G615" i="1"/>
  <c r="F615" i="1" s="1"/>
  <c r="G617" i="1"/>
  <c r="F617" i="1" s="1"/>
  <c r="G619" i="1"/>
  <c r="F619" i="1" s="1"/>
  <c r="G621" i="1"/>
  <c r="F621" i="1" s="1"/>
  <c r="G623" i="1"/>
  <c r="F623" i="1" s="1"/>
  <c r="G625" i="1"/>
  <c r="F625" i="1" s="1"/>
  <c r="G627" i="1"/>
  <c r="F627" i="1" s="1"/>
  <c r="G629" i="1"/>
  <c r="F629" i="1" s="1"/>
  <c r="G631" i="1"/>
  <c r="F631" i="1" s="1"/>
  <c r="G633" i="1"/>
  <c r="F633" i="1" s="1"/>
  <c r="G635" i="1"/>
  <c r="F635" i="1" s="1"/>
  <c r="G637" i="1"/>
  <c r="F637" i="1" s="1"/>
  <c r="G639" i="1"/>
  <c r="F639" i="1" s="1"/>
  <c r="G641" i="1"/>
  <c r="F641" i="1" s="1"/>
  <c r="G643" i="1"/>
  <c r="F643" i="1" s="1"/>
  <c r="G645" i="1"/>
  <c r="F645" i="1" s="1"/>
  <c r="G647" i="1"/>
  <c r="F647" i="1" s="1"/>
  <c r="G649" i="1"/>
  <c r="F649" i="1" s="1"/>
  <c r="G651" i="1"/>
  <c r="F651" i="1" s="1"/>
  <c r="G653" i="1"/>
  <c r="F653" i="1" s="1"/>
  <c r="G655" i="1"/>
  <c r="F655" i="1" s="1"/>
  <c r="G657" i="1"/>
  <c r="F657" i="1" s="1"/>
  <c r="G659" i="1"/>
  <c r="F659" i="1" s="1"/>
  <c r="G661" i="1"/>
  <c r="F661" i="1" s="1"/>
  <c r="G663" i="1"/>
  <c r="F663" i="1" s="1"/>
  <c r="S606" i="1"/>
  <c r="R606" i="1" s="1"/>
  <c r="S612" i="1"/>
  <c r="R612" i="1" s="1"/>
  <c r="S616" i="1"/>
  <c r="R616" i="1" s="1"/>
  <c r="S622" i="1"/>
  <c r="R622" i="1" s="1"/>
  <c r="S626" i="1"/>
  <c r="R626" i="1" s="1"/>
  <c r="S630" i="1"/>
  <c r="R630" i="1" s="1"/>
  <c r="S636" i="1"/>
  <c r="R636" i="1" s="1"/>
  <c r="S638" i="1"/>
  <c r="R638" i="1" s="1"/>
  <c r="S640" i="1"/>
  <c r="R640" i="1" s="1"/>
  <c r="S644" i="1"/>
  <c r="R644" i="1" s="1"/>
  <c r="S656" i="1"/>
  <c r="R656" i="1" s="1"/>
  <c r="S658" i="1"/>
  <c r="R658" i="1" s="1"/>
  <c r="S570" i="1"/>
  <c r="R570" i="1" s="1"/>
  <c r="S572" i="1"/>
  <c r="R572" i="1" s="1"/>
  <c r="S574" i="1"/>
  <c r="R574" i="1" s="1"/>
  <c r="S576" i="1"/>
  <c r="R576" i="1" s="1"/>
  <c r="S578" i="1"/>
  <c r="R578" i="1" s="1"/>
  <c r="S580" i="1"/>
  <c r="R580" i="1" s="1"/>
  <c r="S582" i="1"/>
  <c r="R582" i="1" s="1"/>
  <c r="S584" i="1"/>
  <c r="R584" i="1" s="1"/>
  <c r="S586" i="1"/>
  <c r="R586" i="1" s="1"/>
  <c r="S588" i="1"/>
  <c r="R588" i="1" s="1"/>
  <c r="S590" i="1"/>
  <c r="R590" i="1" s="1"/>
  <c r="S592" i="1"/>
  <c r="R592" i="1" s="1"/>
  <c r="S594" i="1"/>
  <c r="R594" i="1" s="1"/>
  <c r="S596" i="1"/>
  <c r="R596" i="1" s="1"/>
  <c r="S598" i="1"/>
  <c r="R598" i="1" s="1"/>
  <c r="S600" i="1"/>
  <c r="R600" i="1" s="1"/>
  <c r="S602" i="1"/>
  <c r="R602" i="1" s="1"/>
  <c r="S604" i="1"/>
  <c r="R604" i="1" s="1"/>
  <c r="S608" i="1"/>
  <c r="R608" i="1" s="1"/>
  <c r="S610" i="1"/>
  <c r="R610" i="1" s="1"/>
  <c r="S614" i="1"/>
  <c r="R614" i="1" s="1"/>
  <c r="S618" i="1"/>
  <c r="R618" i="1" s="1"/>
  <c r="S620" i="1"/>
  <c r="R620" i="1" s="1"/>
  <c r="S624" i="1"/>
  <c r="R624" i="1" s="1"/>
  <c r="S628" i="1"/>
  <c r="R628" i="1" s="1"/>
  <c r="S632" i="1"/>
  <c r="R632" i="1" s="1"/>
  <c r="S634" i="1"/>
  <c r="R634" i="1" s="1"/>
  <c r="S642" i="1"/>
  <c r="R642" i="1" s="1"/>
  <c r="S646" i="1"/>
  <c r="R646" i="1" s="1"/>
  <c r="S648" i="1"/>
  <c r="R648" i="1" s="1"/>
  <c r="S650" i="1"/>
  <c r="R650" i="1" s="1"/>
  <c r="S652" i="1"/>
  <c r="R652" i="1" s="1"/>
  <c r="S654" i="1"/>
  <c r="R654" i="1" s="1"/>
  <c r="S660" i="1"/>
  <c r="R660" i="1" s="1"/>
  <c r="S662" i="1"/>
  <c r="R662" i="1" s="1"/>
  <c r="S664" i="1"/>
  <c r="R664" i="1" s="1"/>
  <c r="S571" i="1"/>
  <c r="R571" i="1" s="1"/>
  <c r="S575" i="1"/>
  <c r="R575" i="1" s="1"/>
  <c r="S579" i="1"/>
  <c r="R579" i="1" s="1"/>
  <c r="S583" i="1"/>
  <c r="R583" i="1" s="1"/>
  <c r="S587" i="1"/>
  <c r="R587" i="1" s="1"/>
  <c r="S591" i="1"/>
  <c r="R591" i="1" s="1"/>
  <c r="S595" i="1"/>
  <c r="R595" i="1" s="1"/>
  <c r="S599" i="1"/>
  <c r="R599" i="1" s="1"/>
  <c r="S603" i="1"/>
  <c r="R603" i="1" s="1"/>
  <c r="S607" i="1"/>
  <c r="R607" i="1" s="1"/>
  <c r="S611" i="1"/>
  <c r="R611" i="1" s="1"/>
  <c r="S615" i="1"/>
  <c r="R615" i="1" s="1"/>
  <c r="S617" i="1"/>
  <c r="R617" i="1" s="1"/>
  <c r="S619" i="1"/>
  <c r="R619" i="1" s="1"/>
  <c r="S621" i="1"/>
  <c r="R621" i="1" s="1"/>
  <c r="S623" i="1"/>
  <c r="R623" i="1" s="1"/>
  <c r="S625" i="1"/>
  <c r="R625" i="1" s="1"/>
  <c r="S627" i="1"/>
  <c r="R627" i="1" s="1"/>
  <c r="S629" i="1"/>
  <c r="R629" i="1" s="1"/>
  <c r="S631" i="1"/>
  <c r="R631" i="1" s="1"/>
  <c r="S633" i="1"/>
  <c r="R633" i="1" s="1"/>
  <c r="S635" i="1"/>
  <c r="R635" i="1" s="1"/>
  <c r="S637" i="1"/>
  <c r="R637" i="1" s="1"/>
  <c r="S639" i="1"/>
  <c r="R639" i="1" s="1"/>
  <c r="S641" i="1"/>
  <c r="R641" i="1" s="1"/>
  <c r="S643" i="1"/>
  <c r="R643" i="1" s="1"/>
  <c r="S645" i="1"/>
  <c r="R645" i="1" s="1"/>
  <c r="S647" i="1"/>
  <c r="R647" i="1" s="1"/>
  <c r="S649" i="1"/>
  <c r="R649" i="1" s="1"/>
  <c r="S651" i="1"/>
  <c r="R651" i="1" s="1"/>
  <c r="S653" i="1"/>
  <c r="R653" i="1" s="1"/>
  <c r="S655" i="1"/>
  <c r="R655" i="1" s="1"/>
  <c r="S657" i="1"/>
  <c r="R657" i="1" s="1"/>
  <c r="S659" i="1"/>
  <c r="R659" i="1" s="1"/>
  <c r="S661" i="1"/>
  <c r="R661" i="1" s="1"/>
  <c r="S663" i="1"/>
  <c r="R663" i="1" s="1"/>
  <c r="S569" i="1"/>
  <c r="R569" i="1" s="1"/>
  <c r="S573" i="1"/>
  <c r="R573" i="1" s="1"/>
  <c r="S577" i="1"/>
  <c r="R577" i="1" s="1"/>
  <c r="S581" i="1"/>
  <c r="R581" i="1" s="1"/>
  <c r="S585" i="1"/>
  <c r="R585" i="1" s="1"/>
  <c r="S589" i="1"/>
  <c r="R589" i="1" s="1"/>
  <c r="S593" i="1"/>
  <c r="R593" i="1" s="1"/>
  <c r="S597" i="1"/>
  <c r="R597" i="1" s="1"/>
  <c r="S601" i="1"/>
  <c r="R601" i="1" s="1"/>
  <c r="S605" i="1"/>
  <c r="R605" i="1" s="1"/>
  <c r="S609" i="1"/>
  <c r="R609" i="1" s="1"/>
  <c r="S613" i="1"/>
  <c r="R613" i="1" s="1"/>
  <c r="D607" i="1"/>
  <c r="C607" i="1" s="1"/>
  <c r="D613" i="1"/>
  <c r="C613" i="1" s="1"/>
  <c r="D621" i="1"/>
  <c r="C621" i="1" s="1"/>
  <c r="D623" i="1"/>
  <c r="C623" i="1" s="1"/>
  <c r="D627" i="1"/>
  <c r="C627" i="1" s="1"/>
  <c r="D629" i="1"/>
  <c r="C629" i="1" s="1"/>
  <c r="D631" i="1"/>
  <c r="C631" i="1" s="1"/>
  <c r="D637" i="1"/>
  <c r="C637" i="1" s="1"/>
  <c r="D639" i="1"/>
  <c r="C639" i="1" s="1"/>
  <c r="D641" i="1"/>
  <c r="C641" i="1" s="1"/>
  <c r="D643" i="1"/>
  <c r="C643" i="1" s="1"/>
  <c r="D645" i="1"/>
  <c r="C645" i="1" s="1"/>
  <c r="D657" i="1"/>
  <c r="C657" i="1" s="1"/>
  <c r="D659" i="1"/>
  <c r="C659" i="1" s="1"/>
  <c r="D663" i="1"/>
  <c r="C663" i="1" s="1"/>
  <c r="J665" i="1"/>
  <c r="I665" i="1" s="1"/>
  <c r="V665" i="1"/>
  <c r="U665" i="1" s="1"/>
  <c r="G666" i="1"/>
  <c r="F666" i="1" s="1"/>
  <c r="M666" i="1"/>
  <c r="L666" i="1" s="1"/>
  <c r="Y666" i="1"/>
  <c r="X666" i="1" s="1"/>
  <c r="J667" i="1"/>
  <c r="I667" i="1" s="1"/>
  <c r="V667" i="1"/>
  <c r="U667" i="1" s="1"/>
  <c r="G668" i="1"/>
  <c r="F668" i="1" s="1"/>
  <c r="Y668" i="1"/>
  <c r="X668" i="1" s="1"/>
  <c r="J669" i="1"/>
  <c r="I669" i="1" s="1"/>
  <c r="V669" i="1"/>
  <c r="U669" i="1" s="1"/>
  <c r="G670" i="1"/>
  <c r="F670" i="1" s="1"/>
  <c r="M670" i="1"/>
  <c r="L670" i="1" s="1"/>
  <c r="Y670" i="1"/>
  <c r="X670" i="1" s="1"/>
  <c r="J671" i="1"/>
  <c r="I671" i="1" s="1"/>
  <c r="V671" i="1"/>
  <c r="U671" i="1" s="1"/>
  <c r="G672" i="1"/>
  <c r="F672" i="1" s="1"/>
  <c r="M672" i="1"/>
  <c r="L672" i="1" s="1"/>
  <c r="Y672" i="1"/>
  <c r="X672" i="1" s="1"/>
  <c r="J673" i="1"/>
  <c r="I673" i="1" s="1"/>
  <c r="P673" i="1"/>
  <c r="O673" i="1" s="1"/>
  <c r="AB673" i="1"/>
  <c r="AA673" i="1" s="1"/>
  <c r="M674" i="1"/>
  <c r="L674" i="1" s="1"/>
  <c r="Y674" i="1"/>
  <c r="X674" i="1" s="1"/>
  <c r="D675" i="1"/>
  <c r="C675" i="1" s="1"/>
  <c r="P675" i="1"/>
  <c r="O675" i="1" s="1"/>
  <c r="V675" i="1"/>
  <c r="U675" i="1" s="1"/>
  <c r="G676" i="1"/>
  <c r="F676" i="1" s="1"/>
  <c r="M676" i="1"/>
  <c r="L676" i="1" s="1"/>
  <c r="Y676" i="1"/>
  <c r="X676" i="1" s="1"/>
  <c r="J677" i="1"/>
  <c r="I677" i="1" s="1"/>
  <c r="P677" i="1"/>
  <c r="O677" i="1" s="1"/>
  <c r="AB677" i="1"/>
  <c r="AA677" i="1" s="1"/>
  <c r="G678" i="1"/>
  <c r="F678" i="1" s="1"/>
  <c r="S678" i="1"/>
  <c r="R678" i="1" s="1"/>
  <c r="D679" i="1"/>
  <c r="C679" i="1" s="1"/>
  <c r="P679" i="1"/>
  <c r="O679" i="1" s="1"/>
  <c r="V679" i="1"/>
  <c r="U679" i="1" s="1"/>
  <c r="G680" i="1"/>
  <c r="F680" i="1" s="1"/>
  <c r="M680" i="1"/>
  <c r="L680" i="1" s="1"/>
  <c r="Y680" i="1"/>
  <c r="X680" i="1" s="1"/>
  <c r="D569" i="1"/>
  <c r="C569" i="1" s="1"/>
  <c r="D571" i="1"/>
  <c r="C571" i="1" s="1"/>
  <c r="D573" i="1"/>
  <c r="C573" i="1" s="1"/>
  <c r="D575" i="1"/>
  <c r="C575" i="1" s="1"/>
  <c r="D577" i="1"/>
  <c r="C577" i="1" s="1"/>
  <c r="D579" i="1"/>
  <c r="C579" i="1" s="1"/>
  <c r="D581" i="1"/>
  <c r="C581" i="1" s="1"/>
  <c r="D583" i="1"/>
  <c r="C583" i="1" s="1"/>
  <c r="D585" i="1"/>
  <c r="C585" i="1" s="1"/>
  <c r="D587" i="1"/>
  <c r="C587" i="1" s="1"/>
  <c r="D589" i="1"/>
  <c r="C589" i="1" s="1"/>
  <c r="D591" i="1"/>
  <c r="C591" i="1" s="1"/>
  <c r="D593" i="1"/>
  <c r="C593" i="1" s="1"/>
  <c r="D595" i="1"/>
  <c r="C595" i="1" s="1"/>
  <c r="D597" i="1"/>
  <c r="C597" i="1" s="1"/>
  <c r="D599" i="1"/>
  <c r="C599" i="1" s="1"/>
  <c r="D601" i="1"/>
  <c r="C601" i="1" s="1"/>
  <c r="D603" i="1"/>
  <c r="C603" i="1" s="1"/>
  <c r="D605" i="1"/>
  <c r="C605" i="1" s="1"/>
  <c r="D609" i="1"/>
  <c r="C609" i="1" s="1"/>
  <c r="D611" i="1"/>
  <c r="C611" i="1" s="1"/>
  <c r="D615" i="1"/>
  <c r="C615" i="1" s="1"/>
  <c r="D617" i="1"/>
  <c r="C617" i="1" s="1"/>
  <c r="D619" i="1"/>
  <c r="C619" i="1" s="1"/>
  <c r="D625" i="1"/>
  <c r="C625" i="1" s="1"/>
  <c r="D633" i="1"/>
  <c r="C633" i="1" s="1"/>
  <c r="D635" i="1"/>
  <c r="C635" i="1" s="1"/>
  <c r="D647" i="1"/>
  <c r="C647" i="1" s="1"/>
  <c r="D649" i="1"/>
  <c r="C649" i="1" s="1"/>
  <c r="D651" i="1"/>
  <c r="C651" i="1" s="1"/>
  <c r="D653" i="1"/>
  <c r="C653" i="1" s="1"/>
  <c r="D655" i="1"/>
  <c r="C655" i="1" s="1"/>
  <c r="D661" i="1"/>
  <c r="C661" i="1" s="1"/>
  <c r="D665" i="1"/>
  <c r="C665" i="1" s="1"/>
  <c r="P665" i="1"/>
  <c r="O665" i="1" s="1"/>
  <c r="AB665" i="1"/>
  <c r="AA665" i="1" s="1"/>
  <c r="S666" i="1"/>
  <c r="R666" i="1" s="1"/>
  <c r="D667" i="1"/>
  <c r="C667" i="1" s="1"/>
  <c r="P667" i="1"/>
  <c r="O667" i="1" s="1"/>
  <c r="AB667" i="1"/>
  <c r="AA667" i="1" s="1"/>
  <c r="M668" i="1"/>
  <c r="L668" i="1" s="1"/>
  <c r="S668" i="1"/>
  <c r="R668" i="1" s="1"/>
  <c r="D669" i="1"/>
  <c r="C669" i="1" s="1"/>
  <c r="P669" i="1"/>
  <c r="O669" i="1" s="1"/>
  <c r="AB669" i="1"/>
  <c r="AA669" i="1" s="1"/>
  <c r="S670" i="1"/>
  <c r="R670" i="1" s="1"/>
  <c r="D671" i="1"/>
  <c r="C671" i="1" s="1"/>
  <c r="P671" i="1"/>
  <c r="O671" i="1" s="1"/>
  <c r="AB671" i="1"/>
  <c r="AA671" i="1" s="1"/>
  <c r="S672" i="1"/>
  <c r="R672" i="1" s="1"/>
  <c r="D673" i="1"/>
  <c r="C673" i="1" s="1"/>
  <c r="V673" i="1"/>
  <c r="U673" i="1" s="1"/>
  <c r="G674" i="1"/>
  <c r="F674" i="1" s="1"/>
  <c r="S674" i="1"/>
  <c r="R674" i="1" s="1"/>
  <c r="J675" i="1"/>
  <c r="I675" i="1" s="1"/>
  <c r="AB675" i="1"/>
  <c r="AA675" i="1" s="1"/>
  <c r="S676" i="1"/>
  <c r="R676" i="1" s="1"/>
  <c r="D677" i="1"/>
  <c r="C677" i="1" s="1"/>
  <c r="V677" i="1"/>
  <c r="U677" i="1" s="1"/>
  <c r="M678" i="1"/>
  <c r="L678" i="1" s="1"/>
  <c r="Y678" i="1"/>
  <c r="X678" i="1" s="1"/>
  <c r="J679" i="1"/>
  <c r="I679" i="1" s="1"/>
  <c r="AB679" i="1"/>
  <c r="AA679" i="1" s="1"/>
  <c r="S680" i="1"/>
  <c r="R680" i="1" s="1"/>
  <c r="S665" i="1"/>
  <c r="R665" i="1" s="1"/>
  <c r="P666" i="1"/>
  <c r="O666" i="1" s="1"/>
  <c r="M667" i="1"/>
  <c r="L667" i="1" s="1"/>
  <c r="J668" i="1"/>
  <c r="I668" i="1" s="1"/>
  <c r="G669" i="1"/>
  <c r="F669" i="1" s="1"/>
  <c r="D670" i="1"/>
  <c r="C670" i="1" s="1"/>
  <c r="AB670" i="1"/>
  <c r="AA670" i="1" s="1"/>
  <c r="Y671" i="1"/>
  <c r="X671" i="1" s="1"/>
  <c r="V672" i="1"/>
  <c r="U672" i="1" s="1"/>
  <c r="S673" i="1"/>
  <c r="R673" i="1" s="1"/>
  <c r="P674" i="1"/>
  <c r="O674" i="1" s="1"/>
  <c r="M675" i="1"/>
  <c r="L675" i="1" s="1"/>
  <c r="J676" i="1"/>
  <c r="I676" i="1" s="1"/>
  <c r="G677" i="1"/>
  <c r="F677" i="1" s="1"/>
  <c r="D678" i="1"/>
  <c r="C678" i="1" s="1"/>
  <c r="AB678" i="1"/>
  <c r="AA678" i="1" s="1"/>
  <c r="Y679" i="1"/>
  <c r="X679" i="1" s="1"/>
  <c r="V680" i="1"/>
  <c r="U680" i="1" s="1"/>
  <c r="D570" i="1"/>
  <c r="C570" i="1" s="1"/>
  <c r="D574" i="1"/>
  <c r="C574" i="1" s="1"/>
  <c r="D578" i="1"/>
  <c r="C578" i="1" s="1"/>
  <c r="D582" i="1"/>
  <c r="C582" i="1" s="1"/>
  <c r="D586" i="1"/>
  <c r="C586" i="1" s="1"/>
  <c r="D590" i="1"/>
  <c r="C590" i="1" s="1"/>
  <c r="D594" i="1"/>
  <c r="C594" i="1" s="1"/>
  <c r="D598" i="1"/>
  <c r="C598" i="1" s="1"/>
  <c r="D602" i="1"/>
  <c r="C602" i="1" s="1"/>
  <c r="D606" i="1"/>
  <c r="C606" i="1" s="1"/>
  <c r="D610" i="1"/>
  <c r="C610" i="1" s="1"/>
  <c r="D614" i="1"/>
  <c r="C614" i="1" s="1"/>
  <c r="M665" i="1"/>
  <c r="L665" i="1" s="1"/>
  <c r="J666" i="1"/>
  <c r="I666" i="1" s="1"/>
  <c r="G667" i="1"/>
  <c r="F667" i="1" s="1"/>
  <c r="Y669" i="1"/>
  <c r="X669" i="1" s="1"/>
  <c r="S671" i="1"/>
  <c r="R671" i="1" s="1"/>
  <c r="M673" i="1"/>
  <c r="L673" i="1" s="1"/>
  <c r="J674" i="1"/>
  <c r="I674" i="1" s="1"/>
  <c r="AB676" i="1"/>
  <c r="AA676" i="1" s="1"/>
  <c r="V678" i="1"/>
  <c r="U678" i="1" s="1"/>
  <c r="P680" i="1"/>
  <c r="O680" i="1" s="1"/>
  <c r="G665" i="1"/>
  <c r="F665" i="1" s="1"/>
  <c r="D666" i="1"/>
  <c r="C666" i="1" s="1"/>
  <c r="AB666" i="1"/>
  <c r="AA666" i="1" s="1"/>
  <c r="Y667" i="1"/>
  <c r="X667" i="1" s="1"/>
  <c r="V668" i="1"/>
  <c r="U668" i="1" s="1"/>
  <c r="S669" i="1"/>
  <c r="R669" i="1" s="1"/>
  <c r="P670" i="1"/>
  <c r="O670" i="1" s="1"/>
  <c r="M671" i="1"/>
  <c r="L671" i="1" s="1"/>
  <c r="J672" i="1"/>
  <c r="I672" i="1" s="1"/>
  <c r="G673" i="1"/>
  <c r="F673" i="1" s="1"/>
  <c r="D674" i="1"/>
  <c r="C674" i="1" s="1"/>
  <c r="AB674" i="1"/>
  <c r="AA674" i="1" s="1"/>
  <c r="Y675" i="1"/>
  <c r="X675" i="1" s="1"/>
  <c r="V676" i="1"/>
  <c r="U676" i="1" s="1"/>
  <c r="S677" i="1"/>
  <c r="R677" i="1" s="1"/>
  <c r="P678" i="1"/>
  <c r="O678" i="1" s="1"/>
  <c r="M679" i="1"/>
  <c r="L679" i="1" s="1"/>
  <c r="J680" i="1"/>
  <c r="I680" i="1" s="1"/>
  <c r="D580" i="1"/>
  <c r="C580" i="1" s="1"/>
  <c r="D588" i="1"/>
  <c r="C588" i="1" s="1"/>
  <c r="D600" i="1"/>
  <c r="C600" i="1" s="1"/>
  <c r="D612" i="1"/>
  <c r="C612" i="1" s="1"/>
  <c r="D622" i="1"/>
  <c r="C622" i="1" s="1"/>
  <c r="D626" i="1"/>
  <c r="C626" i="1" s="1"/>
  <c r="D628" i="1"/>
  <c r="C628" i="1" s="1"/>
  <c r="D630" i="1"/>
  <c r="C630" i="1" s="1"/>
  <c r="D634" i="1"/>
  <c r="C634" i="1" s="1"/>
  <c r="D638" i="1"/>
  <c r="C638" i="1" s="1"/>
  <c r="D642" i="1"/>
  <c r="C642" i="1" s="1"/>
  <c r="D646" i="1"/>
  <c r="C646" i="1" s="1"/>
  <c r="D648" i="1"/>
  <c r="C648" i="1" s="1"/>
  <c r="D652" i="1"/>
  <c r="C652" i="1" s="1"/>
  <c r="D656" i="1"/>
  <c r="C656" i="1" s="1"/>
  <c r="D658" i="1"/>
  <c r="C658" i="1" s="1"/>
  <c r="D660" i="1"/>
  <c r="C660" i="1" s="1"/>
  <c r="D662" i="1"/>
  <c r="C662" i="1" s="1"/>
  <c r="J670" i="1"/>
  <c r="I670" i="1" s="1"/>
  <c r="AB672" i="1"/>
  <c r="AA672" i="1" s="1"/>
  <c r="V674" i="1"/>
  <c r="U674" i="1" s="1"/>
  <c r="M677" i="1"/>
  <c r="L677" i="1" s="1"/>
  <c r="G679" i="1"/>
  <c r="F679" i="1" s="1"/>
  <c r="AB680" i="1"/>
  <c r="AA680" i="1" s="1"/>
  <c r="D668" i="1"/>
  <c r="C668" i="1" s="1"/>
  <c r="AB668" i="1"/>
  <c r="AA668" i="1" s="1"/>
  <c r="V670" i="1"/>
  <c r="U670" i="1" s="1"/>
  <c r="P672" i="1"/>
  <c r="O672" i="1" s="1"/>
  <c r="G675" i="1"/>
  <c r="F675" i="1" s="1"/>
  <c r="D676" i="1"/>
  <c r="C676" i="1" s="1"/>
  <c r="Y677" i="1"/>
  <c r="X677" i="1" s="1"/>
  <c r="S679" i="1"/>
  <c r="R679" i="1" s="1"/>
  <c r="D572" i="1"/>
  <c r="C572" i="1" s="1"/>
  <c r="D576" i="1"/>
  <c r="C576" i="1" s="1"/>
  <c r="D584" i="1"/>
  <c r="C584" i="1" s="1"/>
  <c r="D592" i="1"/>
  <c r="C592" i="1" s="1"/>
  <c r="D596" i="1"/>
  <c r="C596" i="1" s="1"/>
  <c r="D604" i="1"/>
  <c r="C604" i="1" s="1"/>
  <c r="D608" i="1"/>
  <c r="C608" i="1" s="1"/>
  <c r="D616" i="1"/>
  <c r="C616" i="1" s="1"/>
  <c r="D618" i="1"/>
  <c r="C618" i="1" s="1"/>
  <c r="D620" i="1"/>
  <c r="C620" i="1" s="1"/>
  <c r="D624" i="1"/>
  <c r="C624" i="1" s="1"/>
  <c r="D632" i="1"/>
  <c r="C632" i="1" s="1"/>
  <c r="D636" i="1"/>
  <c r="C636" i="1" s="1"/>
  <c r="D640" i="1"/>
  <c r="C640" i="1" s="1"/>
  <c r="D644" i="1"/>
  <c r="C644" i="1" s="1"/>
  <c r="D650" i="1"/>
  <c r="C650" i="1" s="1"/>
  <c r="D654" i="1"/>
  <c r="C654" i="1" s="1"/>
  <c r="D664" i="1"/>
  <c r="C664" i="1" s="1"/>
  <c r="Y665" i="1"/>
  <c r="X665" i="1" s="1"/>
  <c r="V666" i="1"/>
  <c r="U666" i="1" s="1"/>
  <c r="S667" i="1"/>
  <c r="R667" i="1" s="1"/>
  <c r="P668" i="1"/>
  <c r="O668" i="1" s="1"/>
  <c r="M669" i="1"/>
  <c r="L669" i="1" s="1"/>
  <c r="G671" i="1"/>
  <c r="F671" i="1" s="1"/>
  <c r="D672" i="1"/>
  <c r="C672" i="1" s="1"/>
  <c r="Y673" i="1"/>
  <c r="X673" i="1" s="1"/>
  <c r="S675" i="1"/>
  <c r="R675" i="1" s="1"/>
  <c r="P676" i="1"/>
  <c r="O676" i="1" s="1"/>
  <c r="J678" i="1"/>
  <c r="I678" i="1" s="1"/>
  <c r="D680" i="1"/>
  <c r="C680" i="1" s="1"/>
  <c r="V611" i="1"/>
  <c r="U611" i="1" s="1"/>
  <c r="V613" i="1"/>
  <c r="U613" i="1" s="1"/>
  <c r="V615" i="1"/>
  <c r="U615" i="1" s="1"/>
  <c r="V619" i="1"/>
  <c r="U619" i="1" s="1"/>
  <c r="V621" i="1"/>
  <c r="U621" i="1" s="1"/>
  <c r="V623" i="1"/>
  <c r="U623" i="1" s="1"/>
  <c r="V625" i="1"/>
  <c r="U625" i="1" s="1"/>
  <c r="V627" i="1"/>
  <c r="U627" i="1" s="1"/>
  <c r="V629" i="1"/>
  <c r="U629" i="1" s="1"/>
  <c r="V631" i="1"/>
  <c r="U631" i="1" s="1"/>
  <c r="V637" i="1"/>
  <c r="U637" i="1" s="1"/>
  <c r="V639" i="1"/>
  <c r="U639" i="1" s="1"/>
  <c r="V641" i="1"/>
  <c r="U641" i="1" s="1"/>
  <c r="V643" i="1"/>
  <c r="U643" i="1" s="1"/>
  <c r="V655" i="1"/>
  <c r="U655" i="1" s="1"/>
  <c r="V657" i="1"/>
  <c r="U657" i="1" s="1"/>
  <c r="V659" i="1"/>
  <c r="U659" i="1" s="1"/>
  <c r="V569" i="1"/>
  <c r="U569" i="1" s="1"/>
  <c r="V571" i="1"/>
  <c r="U571" i="1" s="1"/>
  <c r="V573" i="1"/>
  <c r="U573" i="1" s="1"/>
  <c r="V575" i="1"/>
  <c r="U575" i="1" s="1"/>
  <c r="V577" i="1"/>
  <c r="U577" i="1" s="1"/>
  <c r="V579" i="1"/>
  <c r="U579" i="1" s="1"/>
  <c r="V581" i="1"/>
  <c r="U581" i="1" s="1"/>
  <c r="V583" i="1"/>
  <c r="U583" i="1" s="1"/>
  <c r="V585" i="1"/>
  <c r="U585" i="1" s="1"/>
  <c r="V587" i="1"/>
  <c r="U587" i="1" s="1"/>
  <c r="V589" i="1"/>
  <c r="U589" i="1" s="1"/>
  <c r="V591" i="1"/>
  <c r="U591" i="1" s="1"/>
  <c r="V593" i="1"/>
  <c r="U593" i="1" s="1"/>
  <c r="V595" i="1"/>
  <c r="U595" i="1" s="1"/>
  <c r="V597" i="1"/>
  <c r="U597" i="1" s="1"/>
  <c r="V599" i="1"/>
  <c r="U599" i="1" s="1"/>
  <c r="V601" i="1"/>
  <c r="U601" i="1" s="1"/>
  <c r="V603" i="1"/>
  <c r="U603" i="1" s="1"/>
  <c r="V605" i="1"/>
  <c r="U605" i="1" s="1"/>
  <c r="V607" i="1"/>
  <c r="U607" i="1" s="1"/>
  <c r="V609" i="1"/>
  <c r="U609" i="1" s="1"/>
  <c r="V617" i="1"/>
  <c r="U617" i="1" s="1"/>
  <c r="V633" i="1"/>
  <c r="U633" i="1" s="1"/>
  <c r="V635" i="1"/>
  <c r="U635" i="1" s="1"/>
  <c r="V645" i="1"/>
  <c r="U645" i="1" s="1"/>
  <c r="V647" i="1"/>
  <c r="U647" i="1" s="1"/>
  <c r="V649" i="1"/>
  <c r="U649" i="1" s="1"/>
  <c r="V651" i="1"/>
  <c r="U651" i="1" s="1"/>
  <c r="V653" i="1"/>
  <c r="U653" i="1" s="1"/>
  <c r="V661" i="1"/>
  <c r="U661" i="1" s="1"/>
  <c r="V663" i="1"/>
  <c r="U663" i="1" s="1"/>
  <c r="V570" i="1"/>
  <c r="U570" i="1" s="1"/>
  <c r="V574" i="1"/>
  <c r="U574" i="1" s="1"/>
  <c r="V578" i="1"/>
  <c r="U578" i="1" s="1"/>
  <c r="V582" i="1"/>
  <c r="U582" i="1" s="1"/>
  <c r="V586" i="1"/>
  <c r="U586" i="1" s="1"/>
  <c r="V590" i="1"/>
  <c r="U590" i="1" s="1"/>
  <c r="V594" i="1"/>
  <c r="U594" i="1" s="1"/>
  <c r="V598" i="1"/>
  <c r="U598" i="1" s="1"/>
  <c r="V602" i="1"/>
  <c r="U602" i="1" s="1"/>
  <c r="V606" i="1"/>
  <c r="U606" i="1" s="1"/>
  <c r="V610" i="1"/>
  <c r="U610" i="1" s="1"/>
  <c r="V614" i="1"/>
  <c r="U614" i="1" s="1"/>
  <c r="V618" i="1"/>
  <c r="U618" i="1" s="1"/>
  <c r="V620" i="1"/>
  <c r="U620" i="1" s="1"/>
  <c r="V622" i="1"/>
  <c r="U622" i="1" s="1"/>
  <c r="V624" i="1"/>
  <c r="U624" i="1" s="1"/>
  <c r="V626" i="1"/>
  <c r="U626" i="1" s="1"/>
  <c r="V628" i="1"/>
  <c r="U628" i="1" s="1"/>
  <c r="V630" i="1"/>
  <c r="U630" i="1" s="1"/>
  <c r="V632" i="1"/>
  <c r="U632" i="1" s="1"/>
  <c r="V634" i="1"/>
  <c r="U634" i="1" s="1"/>
  <c r="V636" i="1"/>
  <c r="U636" i="1" s="1"/>
  <c r="V638" i="1"/>
  <c r="U638" i="1" s="1"/>
  <c r="V640" i="1"/>
  <c r="U640" i="1" s="1"/>
  <c r="V642" i="1"/>
  <c r="U642" i="1" s="1"/>
  <c r="V644" i="1"/>
  <c r="U644" i="1" s="1"/>
  <c r="V646" i="1"/>
  <c r="U646" i="1" s="1"/>
  <c r="V648" i="1"/>
  <c r="U648" i="1" s="1"/>
  <c r="V650" i="1"/>
  <c r="U650" i="1" s="1"/>
  <c r="V652" i="1"/>
  <c r="U652" i="1" s="1"/>
  <c r="V654" i="1"/>
  <c r="U654" i="1" s="1"/>
  <c r="V656" i="1"/>
  <c r="U656" i="1" s="1"/>
  <c r="V658" i="1"/>
  <c r="U658" i="1" s="1"/>
  <c r="V660" i="1"/>
  <c r="U660" i="1" s="1"/>
  <c r="V662" i="1"/>
  <c r="U662" i="1" s="1"/>
  <c r="V664" i="1"/>
  <c r="U664" i="1" s="1"/>
  <c r="V572" i="1"/>
  <c r="U572" i="1" s="1"/>
  <c r="V576" i="1"/>
  <c r="U576" i="1" s="1"/>
  <c r="V580" i="1"/>
  <c r="U580" i="1" s="1"/>
  <c r="V584" i="1"/>
  <c r="U584" i="1" s="1"/>
  <c r="V588" i="1"/>
  <c r="U588" i="1" s="1"/>
  <c r="V592" i="1"/>
  <c r="U592" i="1" s="1"/>
  <c r="V596" i="1"/>
  <c r="U596" i="1" s="1"/>
  <c r="V600" i="1"/>
  <c r="U600" i="1" s="1"/>
  <c r="V604" i="1"/>
  <c r="U604" i="1" s="1"/>
  <c r="V608" i="1"/>
  <c r="U608" i="1" s="1"/>
  <c r="V612" i="1"/>
  <c r="U612" i="1" s="1"/>
  <c r="V616" i="1"/>
  <c r="U616" i="1" s="1"/>
  <c r="N696" i="1" l="1"/>
  <c r="N694" i="1"/>
  <c r="N695" i="1"/>
  <c r="H696" i="1"/>
  <c r="H695" i="1"/>
  <c r="H694" i="1"/>
  <c r="K694" i="1"/>
  <c r="K696" i="1"/>
  <c r="K695" i="1"/>
  <c r="E695" i="1"/>
  <c r="E693" i="1"/>
  <c r="E696" i="1"/>
  <c r="E694" i="1"/>
  <c r="V693" i="1"/>
  <c r="M693" i="1"/>
  <c r="P693" i="1"/>
  <c r="G693" i="1"/>
  <c r="H693" i="1" s="1"/>
  <c r="Y693" i="1"/>
  <c r="J693" i="1"/>
  <c r="K693" i="1" s="1"/>
  <c r="S693" i="1"/>
  <c r="AB693" i="1"/>
  <c r="D692" i="1"/>
  <c r="E692" i="1" s="1"/>
  <c r="S692" i="1"/>
  <c r="G692" i="1"/>
  <c r="H692" i="1" s="1"/>
  <c r="AB692" i="1"/>
  <c r="J692" i="1"/>
  <c r="K692" i="1" s="1"/>
  <c r="Y692" i="1"/>
  <c r="M692" i="1"/>
  <c r="P692" i="1"/>
  <c r="V692" i="1"/>
  <c r="D690" i="1"/>
  <c r="E690" i="1" s="1"/>
  <c r="I442" i="1"/>
  <c r="J549" i="1"/>
  <c r="J221" i="1"/>
  <c r="I222" i="1"/>
  <c r="I227" i="1"/>
  <c r="I235" i="1"/>
  <c r="J218" i="1"/>
  <c r="J229" i="1"/>
  <c r="I228" i="1"/>
  <c r="J242" i="1"/>
  <c r="I226" i="1"/>
  <c r="I427" i="1"/>
  <c r="I435" i="1"/>
  <c r="I443" i="1"/>
  <c r="I230" i="1"/>
  <c r="J239" i="1"/>
  <c r="J240" i="1"/>
  <c r="J430" i="1"/>
  <c r="J429" i="1"/>
  <c r="J436" i="1"/>
  <c r="J445" i="1"/>
  <c r="J428" i="1"/>
  <c r="J440" i="1"/>
  <c r="J427" i="1"/>
  <c r="I444" i="1"/>
  <c r="I533" i="1"/>
  <c r="J223" i="1"/>
  <c r="I224" i="1"/>
  <c r="I229" i="1"/>
  <c r="I237" i="1"/>
  <c r="J222" i="1"/>
  <c r="J231" i="1"/>
  <c r="I232" i="1"/>
  <c r="J228" i="1"/>
  <c r="J230" i="1"/>
  <c r="I429" i="1"/>
  <c r="I437" i="1"/>
  <c r="I445" i="1"/>
  <c r="J241" i="1"/>
  <c r="J238" i="1"/>
  <c r="J224" i="1"/>
  <c r="J433" i="1"/>
  <c r="I432" i="1"/>
  <c r="J437" i="1"/>
  <c r="I448" i="1"/>
  <c r="J431" i="1"/>
  <c r="J443" i="1"/>
  <c r="I430" i="1"/>
  <c r="J446" i="1"/>
  <c r="I450" i="1"/>
  <c r="J444" i="1"/>
  <c r="I218" i="1"/>
  <c r="I221" i="1"/>
  <c r="I231" i="1"/>
  <c r="I239" i="1"/>
  <c r="J225" i="1"/>
  <c r="J233" i="1"/>
  <c r="J237" i="1"/>
  <c r="I234" i="1"/>
  <c r="I236" i="1"/>
  <c r="I431" i="1"/>
  <c r="I439" i="1"/>
  <c r="I447" i="1"/>
  <c r="J220" i="1"/>
  <c r="I223" i="1"/>
  <c r="I242" i="1"/>
  <c r="J232" i="1"/>
  <c r="J434" i="1"/>
  <c r="I440" i="1"/>
  <c r="J450" i="1"/>
  <c r="J435" i="1"/>
  <c r="I446" i="1"/>
  <c r="J438" i="1"/>
  <c r="J449" i="1"/>
  <c r="I434" i="1"/>
  <c r="J557" i="1"/>
  <c r="I436" i="1"/>
  <c r="J236" i="1"/>
  <c r="J219" i="1"/>
  <c r="I220" i="1"/>
  <c r="I225" i="1"/>
  <c r="I233" i="1"/>
  <c r="I241" i="1"/>
  <c r="J227" i="1"/>
  <c r="I219" i="1"/>
  <c r="I240" i="1"/>
  <c r="J235" i="1"/>
  <c r="I238" i="1"/>
  <c r="I433" i="1"/>
  <c r="I441" i="1"/>
  <c r="I449" i="1"/>
  <c r="J234" i="1"/>
  <c r="J226" i="1"/>
  <c r="I428" i="1"/>
  <c r="J426" i="1"/>
  <c r="J432" i="1"/>
  <c r="J442" i="1"/>
  <c r="J533" i="1"/>
  <c r="I438" i="1"/>
  <c r="J448" i="1"/>
  <c r="J441" i="1"/>
  <c r="J541" i="1"/>
  <c r="I549" i="1"/>
  <c r="J439" i="1"/>
  <c r="J447" i="1"/>
  <c r="I541" i="1"/>
  <c r="I557" i="1"/>
  <c r="I426" i="1"/>
  <c r="D691" i="1"/>
  <c r="E691" i="1" s="1"/>
  <c r="G689" i="1"/>
  <c r="H689" i="1" s="1"/>
  <c r="D689" i="1"/>
  <c r="E689" i="1" s="1"/>
  <c r="AB691" i="1"/>
  <c r="V691" i="1"/>
  <c r="M691" i="1"/>
  <c r="N691" i="1" s="1"/>
  <c r="S691" i="1"/>
  <c r="J691" i="1"/>
  <c r="K691" i="1" s="1"/>
  <c r="G691" i="1"/>
  <c r="H691" i="1" s="1"/>
  <c r="Y691" i="1"/>
  <c r="P691" i="1"/>
  <c r="F565" i="1"/>
  <c r="AB690" i="1"/>
  <c r="V690" i="1"/>
  <c r="P690" i="1"/>
  <c r="S690" i="1"/>
  <c r="J690" i="1"/>
  <c r="K690" i="1" s="1"/>
  <c r="G690" i="1"/>
  <c r="H690" i="1" s="1"/>
  <c r="Y690" i="1"/>
  <c r="M690" i="1"/>
  <c r="N690" i="1" s="1"/>
  <c r="J689" i="1"/>
  <c r="K689" i="1" s="1"/>
  <c r="S689" i="1"/>
  <c r="Y689" i="1"/>
  <c r="M689" i="1"/>
  <c r="N689" i="1" s="1"/>
  <c r="V689" i="1"/>
  <c r="AB689" i="1"/>
  <c r="P689" i="1"/>
  <c r="AB109" i="1"/>
  <c r="AC109" i="1"/>
  <c r="AC104" i="1"/>
  <c r="AB104" i="1"/>
  <c r="AC103" i="1"/>
  <c r="AB103" i="1"/>
  <c r="AC107" i="1"/>
  <c r="AB107" i="1"/>
  <c r="AB105" i="1"/>
  <c r="AC105" i="1"/>
  <c r="AC106" i="1"/>
  <c r="AB106" i="1"/>
  <c r="AC110" i="1"/>
  <c r="AB110" i="1"/>
  <c r="AC108" i="1"/>
  <c r="AB108" i="1"/>
  <c r="L565" i="1" l="1"/>
  <c r="L221" i="1" s="1"/>
  <c r="N693" i="1"/>
  <c r="L564" i="1"/>
  <c r="M410" i="1" s="1"/>
  <c r="N692" i="1"/>
  <c r="M220" i="1"/>
  <c r="C561" i="1"/>
  <c r="C114" i="1" s="1"/>
  <c r="G432" i="1"/>
  <c r="G549" i="1"/>
  <c r="F557" i="1"/>
  <c r="F549" i="1"/>
  <c r="F443" i="1"/>
  <c r="G218" i="1"/>
  <c r="F219" i="1"/>
  <c r="F222" i="1"/>
  <c r="F232" i="1"/>
  <c r="F240" i="1"/>
  <c r="G226" i="1"/>
  <c r="G234" i="1"/>
  <c r="F233" i="1"/>
  <c r="G221" i="1"/>
  <c r="G239" i="1"/>
  <c r="G240" i="1"/>
  <c r="F430" i="1"/>
  <c r="F438" i="1"/>
  <c r="F446" i="1"/>
  <c r="G227" i="1"/>
  <c r="F231" i="1"/>
  <c r="F429" i="1"/>
  <c r="G430" i="1"/>
  <c r="F431" i="1"/>
  <c r="G443" i="1"/>
  <c r="F427" i="1"/>
  <c r="F447" i="1"/>
  <c r="G436" i="1"/>
  <c r="F445" i="1"/>
  <c r="G557" i="1"/>
  <c r="G220" i="1"/>
  <c r="F221" i="1"/>
  <c r="F226" i="1"/>
  <c r="F234" i="1"/>
  <c r="F242" i="1"/>
  <c r="G228" i="1"/>
  <c r="F220" i="1"/>
  <c r="G235" i="1"/>
  <c r="F227" i="1"/>
  <c r="G241" i="1"/>
  <c r="G242" i="1"/>
  <c r="F432" i="1"/>
  <c r="F440" i="1"/>
  <c r="F448" i="1"/>
  <c r="G233" i="1"/>
  <c r="F237" i="1"/>
  <c r="G431" i="1"/>
  <c r="F433" i="1"/>
  <c r="F435" i="1"/>
  <c r="G446" i="1"/>
  <c r="F439" i="1"/>
  <c r="G449" i="1"/>
  <c r="F437" i="1"/>
  <c r="G447" i="1"/>
  <c r="G440" i="1"/>
  <c r="G437" i="1"/>
  <c r="F218" i="1"/>
  <c r="F238" i="1"/>
  <c r="G232" i="1"/>
  <c r="F241" i="1"/>
  <c r="G229" i="1"/>
  <c r="F436" i="1"/>
  <c r="F533" i="1"/>
  <c r="G426" i="1"/>
  <c r="G428" i="1"/>
  <c r="G541" i="1"/>
  <c r="G434" i="1"/>
  <c r="G533" i="1"/>
  <c r="G445" i="1"/>
  <c r="G448" i="1"/>
  <c r="G222" i="1"/>
  <c r="F223" i="1"/>
  <c r="F228" i="1"/>
  <c r="F236" i="1"/>
  <c r="G219" i="1"/>
  <c r="G230" i="1"/>
  <c r="F225" i="1"/>
  <c r="G238" i="1"/>
  <c r="G231" i="1"/>
  <c r="F224" i="1"/>
  <c r="F426" i="1"/>
  <c r="F434" i="1"/>
  <c r="F442" i="1"/>
  <c r="F450" i="1"/>
  <c r="G236" i="1"/>
  <c r="F239" i="1"/>
  <c r="G225" i="1"/>
  <c r="G435" i="1"/>
  <c r="G438" i="1"/>
  <c r="F449" i="1"/>
  <c r="G441" i="1"/>
  <c r="G433" i="1"/>
  <c r="G439" i="1"/>
  <c r="G450" i="1"/>
  <c r="G224" i="1"/>
  <c r="F230" i="1"/>
  <c r="G223" i="1"/>
  <c r="F229" i="1"/>
  <c r="G237" i="1"/>
  <c r="F428" i="1"/>
  <c r="F444" i="1"/>
  <c r="F235" i="1"/>
  <c r="G427" i="1"/>
  <c r="F441" i="1"/>
  <c r="G444" i="1"/>
  <c r="G442" i="1"/>
  <c r="G429" i="1"/>
  <c r="F541" i="1"/>
  <c r="I564" i="1"/>
  <c r="J548" i="1" s="1"/>
  <c r="F564" i="1"/>
  <c r="G197" i="1" s="1"/>
  <c r="D210" i="1"/>
  <c r="L562" i="1"/>
  <c r="L563" i="1"/>
  <c r="M199" i="1"/>
  <c r="L424" i="1"/>
  <c r="M214" i="1"/>
  <c r="I563" i="1"/>
  <c r="J390" i="1" s="1"/>
  <c r="L561" i="1"/>
  <c r="I562" i="1"/>
  <c r="I157" i="1" s="1"/>
  <c r="I561" i="1"/>
  <c r="O561" i="1"/>
  <c r="F561" i="1"/>
  <c r="F563" i="1"/>
  <c r="G182" i="1" s="1"/>
  <c r="F562" i="1"/>
  <c r="F150" i="1" s="1"/>
  <c r="C186" i="1"/>
  <c r="L414" i="1" l="1"/>
  <c r="L409" i="1"/>
  <c r="L406" i="1"/>
  <c r="L422" i="1"/>
  <c r="L532" i="1"/>
  <c r="M204" i="1"/>
  <c r="L403" i="1"/>
  <c r="M210" i="1"/>
  <c r="L556" i="1"/>
  <c r="L204" i="1"/>
  <c r="L195" i="1"/>
  <c r="L423" i="1"/>
  <c r="M540" i="1"/>
  <c r="L421" i="1"/>
  <c r="M213" i="1"/>
  <c r="M403" i="1"/>
  <c r="L202" i="1"/>
  <c r="M196" i="1"/>
  <c r="L415" i="1"/>
  <c r="L540" i="1"/>
  <c r="M406" i="1"/>
  <c r="L193" i="1"/>
  <c r="L420" i="1"/>
  <c r="L213" i="1"/>
  <c r="L412" i="1"/>
  <c r="M193" i="1"/>
  <c r="L206" i="1"/>
  <c r="M549" i="1"/>
  <c r="L237" i="1"/>
  <c r="L233" i="1"/>
  <c r="M448" i="1"/>
  <c r="M541" i="1"/>
  <c r="L239" i="1"/>
  <c r="L557" i="1"/>
  <c r="L548" i="1"/>
  <c r="L400" i="1"/>
  <c r="L413" i="1"/>
  <c r="L199" i="1"/>
  <c r="M205" i="1"/>
  <c r="M405" i="1"/>
  <c r="M412" i="1"/>
  <c r="M202" i="1"/>
  <c r="L194" i="1"/>
  <c r="L410" i="1"/>
  <c r="L208" i="1"/>
  <c r="M409" i="1"/>
  <c r="M208" i="1"/>
  <c r="L408" i="1"/>
  <c r="M413" i="1"/>
  <c r="M532" i="1"/>
  <c r="M415" i="1"/>
  <c r="L205" i="1"/>
  <c r="L212" i="1"/>
  <c r="M197" i="1"/>
  <c r="M424" i="1"/>
  <c r="L402" i="1"/>
  <c r="M200" i="1"/>
  <c r="M417" i="1"/>
  <c r="L417" i="1"/>
  <c r="L200" i="1"/>
  <c r="L418" i="1"/>
  <c r="L214" i="1"/>
  <c r="M438" i="1"/>
  <c r="M242" i="1"/>
  <c r="L435" i="1"/>
  <c r="L220" i="1"/>
  <c r="L431" i="1"/>
  <c r="L219" i="1"/>
  <c r="L448" i="1"/>
  <c r="M225" i="1"/>
  <c r="M436" i="1"/>
  <c r="M429" i="1"/>
  <c r="L416" i="1"/>
  <c r="L404" i="1"/>
  <c r="M416" i="1"/>
  <c r="M404" i="1"/>
  <c r="L405" i="1"/>
  <c r="L215" i="1"/>
  <c r="L196" i="1"/>
  <c r="M556" i="1"/>
  <c r="M422" i="1"/>
  <c r="M423" i="1"/>
  <c r="L411" i="1"/>
  <c r="L211" i="1"/>
  <c r="M195" i="1"/>
  <c r="M420" i="1"/>
  <c r="M212" i="1"/>
  <c r="M201" i="1"/>
  <c r="M402" i="1"/>
  <c r="L201" i="1"/>
  <c r="M207" i="1"/>
  <c r="M447" i="1"/>
  <c r="L442" i="1"/>
  <c r="M228" i="1"/>
  <c r="M430" i="1"/>
  <c r="M426" i="1"/>
  <c r="M223" i="1"/>
  <c r="L441" i="1"/>
  <c r="L223" i="1"/>
  <c r="M444" i="1"/>
  <c r="L426" i="1"/>
  <c r="L232" i="1"/>
  <c r="M533" i="1"/>
  <c r="L229" i="1"/>
  <c r="M234" i="1"/>
  <c r="M449" i="1"/>
  <c r="M439" i="1"/>
  <c r="M211" i="1"/>
  <c r="M421" i="1"/>
  <c r="M411" i="1"/>
  <c r="M198" i="1"/>
  <c r="L401" i="1"/>
  <c r="L207" i="1"/>
  <c r="L192" i="1"/>
  <c r="M414" i="1"/>
  <c r="M419" i="1"/>
  <c r="M407" i="1"/>
  <c r="L407" i="1"/>
  <c r="M192" i="1"/>
  <c r="L198" i="1"/>
  <c r="M548" i="1"/>
  <c r="L419" i="1"/>
  <c r="M216" i="1"/>
  <c r="L210" i="1"/>
  <c r="M203" i="1"/>
  <c r="M401" i="1"/>
  <c r="M400" i="1"/>
  <c r="M194" i="1"/>
  <c r="L209" i="1"/>
  <c r="L216" i="1"/>
  <c r="M209" i="1"/>
  <c r="M418" i="1"/>
  <c r="M408" i="1"/>
  <c r="L197" i="1"/>
  <c r="M206" i="1"/>
  <c r="L203" i="1"/>
  <c r="M215" i="1"/>
  <c r="M227" i="1"/>
  <c r="L242" i="1"/>
  <c r="M232" i="1"/>
  <c r="L436" i="1"/>
  <c r="L432" i="1"/>
  <c r="L238" i="1"/>
  <c r="M431" i="1"/>
  <c r="L430" i="1"/>
  <c r="M446" i="1"/>
  <c r="M229" i="1"/>
  <c r="M443" i="1"/>
  <c r="M437" i="1"/>
  <c r="L429" i="1"/>
  <c r="L450" i="1"/>
  <c r="M235" i="1"/>
  <c r="L218" i="1"/>
  <c r="L224" i="1"/>
  <c r="M557" i="1"/>
  <c r="M445" i="1"/>
  <c r="M441" i="1"/>
  <c r="M231" i="1"/>
  <c r="L241" i="1"/>
  <c r="M236" i="1"/>
  <c r="L230" i="1"/>
  <c r="L541" i="1"/>
  <c r="M442" i="1"/>
  <c r="M233" i="1"/>
  <c r="M239" i="1"/>
  <c r="L236" i="1"/>
  <c r="M440" i="1"/>
  <c r="L533" i="1"/>
  <c r="L227" i="1"/>
  <c r="M435" i="1"/>
  <c r="L437" i="1"/>
  <c r="L427" i="1"/>
  <c r="L434" i="1"/>
  <c r="L225" i="1"/>
  <c r="L240" i="1"/>
  <c r="M218" i="1"/>
  <c r="M427" i="1"/>
  <c r="L445" i="1"/>
  <c r="M428" i="1"/>
  <c r="L440" i="1"/>
  <c r="M240" i="1"/>
  <c r="M226" i="1"/>
  <c r="M224" i="1"/>
  <c r="L443" i="1"/>
  <c r="L439" i="1"/>
  <c r="L446" i="1"/>
  <c r="L222" i="1"/>
  <c r="L449" i="1"/>
  <c r="M434" i="1"/>
  <c r="M237" i="1"/>
  <c r="L226" i="1"/>
  <c r="M432" i="1"/>
  <c r="L438" i="1"/>
  <c r="M238" i="1"/>
  <c r="M221" i="1"/>
  <c r="M222" i="1"/>
  <c r="L433" i="1"/>
  <c r="L447" i="1"/>
  <c r="L235" i="1"/>
  <c r="L428" i="1"/>
  <c r="M241" i="1"/>
  <c r="L234" i="1"/>
  <c r="L231" i="1"/>
  <c r="L228" i="1"/>
  <c r="L549" i="1"/>
  <c r="M450" i="1"/>
  <c r="M433" i="1"/>
  <c r="L444" i="1"/>
  <c r="M219" i="1"/>
  <c r="M230" i="1"/>
  <c r="I115" i="1"/>
  <c r="I117" i="1"/>
  <c r="I119" i="1"/>
  <c r="I121" i="1"/>
  <c r="I123" i="1"/>
  <c r="I125" i="1"/>
  <c r="I127" i="1"/>
  <c r="I129" i="1"/>
  <c r="I131" i="1"/>
  <c r="I133" i="1"/>
  <c r="I135" i="1"/>
  <c r="I137" i="1"/>
  <c r="J114" i="1"/>
  <c r="J120" i="1"/>
  <c r="J126" i="1"/>
  <c r="J132" i="1"/>
  <c r="J138" i="1"/>
  <c r="J115" i="1"/>
  <c r="J117" i="1"/>
  <c r="J119" i="1"/>
  <c r="J121" i="1"/>
  <c r="J123" i="1"/>
  <c r="J125" i="1"/>
  <c r="J127" i="1"/>
  <c r="J129" i="1"/>
  <c r="J131" i="1"/>
  <c r="J133" i="1"/>
  <c r="J135" i="1"/>
  <c r="J137" i="1"/>
  <c r="I114" i="1"/>
  <c r="J118" i="1"/>
  <c r="J122" i="1"/>
  <c r="J128" i="1"/>
  <c r="J134" i="1"/>
  <c r="I116" i="1"/>
  <c r="I118" i="1"/>
  <c r="I120" i="1"/>
  <c r="I122" i="1"/>
  <c r="I124" i="1"/>
  <c r="I126" i="1"/>
  <c r="I128" i="1"/>
  <c r="I130" i="1"/>
  <c r="I132" i="1"/>
  <c r="I134" i="1"/>
  <c r="I136" i="1"/>
  <c r="I138" i="1"/>
  <c r="J116" i="1"/>
  <c r="J124" i="1"/>
  <c r="J130" i="1"/>
  <c r="J136" i="1"/>
  <c r="C200" i="1"/>
  <c r="D408" i="1"/>
  <c r="C203" i="1"/>
  <c r="D417" i="1"/>
  <c r="C556" i="1"/>
  <c r="D205" i="1"/>
  <c r="C422" i="1"/>
  <c r="C212" i="1"/>
  <c r="D419" i="1"/>
  <c r="D420" i="1"/>
  <c r="C215" i="1"/>
  <c r="C421" i="1"/>
  <c r="D206" i="1"/>
  <c r="C410" i="1"/>
  <c r="C419" i="1"/>
  <c r="C210" i="1"/>
  <c r="D423" i="1"/>
  <c r="D208" i="1"/>
  <c r="C420" i="1"/>
  <c r="D421" i="1"/>
  <c r="D207" i="1"/>
  <c r="D406" i="1"/>
  <c r="C193" i="1"/>
  <c r="C213" i="1"/>
  <c r="D407" i="1"/>
  <c r="D196" i="1"/>
  <c r="C400" i="1"/>
  <c r="C415" i="1"/>
  <c r="D414" i="1"/>
  <c r="D402" i="1"/>
  <c r="C406" i="1"/>
  <c r="D199" i="1"/>
  <c r="C199" i="1"/>
  <c r="D192" i="1"/>
  <c r="D412" i="1"/>
  <c r="D411" i="1"/>
  <c r="D209" i="1"/>
  <c r="C404" i="1"/>
  <c r="D195" i="1"/>
  <c r="C197" i="1"/>
  <c r="D548" i="1"/>
  <c r="D540" i="1"/>
  <c r="C403" i="1"/>
  <c r="C532" i="1"/>
  <c r="D213" i="1"/>
  <c r="C198" i="1"/>
  <c r="D212" i="1"/>
  <c r="D424" i="1"/>
  <c r="D404" i="1"/>
  <c r="D415" i="1"/>
  <c r="C416" i="1"/>
  <c r="C196" i="1"/>
  <c r="C209" i="1"/>
  <c r="D202" i="1"/>
  <c r="D416" i="1"/>
  <c r="D403" i="1"/>
  <c r="D193" i="1"/>
  <c r="C216" i="1"/>
  <c r="C206" i="1"/>
  <c r="D216" i="1"/>
  <c r="D556" i="1"/>
  <c r="D413" i="1"/>
  <c r="C401" i="1"/>
  <c r="C192" i="1"/>
  <c r="D197" i="1"/>
  <c r="C202" i="1"/>
  <c r="D214" i="1"/>
  <c r="C548" i="1"/>
  <c r="C407" i="1"/>
  <c r="D418" i="1"/>
  <c r="C418" i="1"/>
  <c r="C204" i="1"/>
  <c r="C211" i="1"/>
  <c r="D204" i="1"/>
  <c r="C411" i="1"/>
  <c r="C417" i="1"/>
  <c r="C405" i="1"/>
  <c r="C408" i="1"/>
  <c r="D203" i="1"/>
  <c r="C201" i="1"/>
  <c r="D194" i="1"/>
  <c r="D405" i="1"/>
  <c r="D401" i="1"/>
  <c r="C413" i="1"/>
  <c r="C414" i="1"/>
  <c r="D215" i="1"/>
  <c r="C207" i="1"/>
  <c r="D200" i="1"/>
  <c r="C540" i="1"/>
  <c r="D422" i="1"/>
  <c r="D410" i="1"/>
  <c r="C412" i="1"/>
  <c r="D211" i="1"/>
  <c r="C205" i="1"/>
  <c r="D198" i="1"/>
  <c r="D409" i="1"/>
  <c r="C409" i="1"/>
  <c r="C208" i="1"/>
  <c r="C402" i="1"/>
  <c r="C214" i="1"/>
  <c r="C195" i="1"/>
  <c r="D532" i="1"/>
  <c r="C423" i="1"/>
  <c r="D400" i="1"/>
  <c r="C424" i="1"/>
  <c r="D201" i="1"/>
  <c r="C194" i="1"/>
  <c r="M553" i="1"/>
  <c r="M119" i="1"/>
  <c r="M123" i="1"/>
  <c r="L126" i="1"/>
  <c r="L134" i="1"/>
  <c r="L127" i="1"/>
  <c r="M127" i="1"/>
  <c r="L135" i="1"/>
  <c r="L118" i="1"/>
  <c r="M126" i="1"/>
  <c r="M134" i="1"/>
  <c r="L123" i="1"/>
  <c r="M136" i="1"/>
  <c r="L341" i="1"/>
  <c r="M131" i="1"/>
  <c r="M328" i="1"/>
  <c r="M338" i="1"/>
  <c r="L529" i="1"/>
  <c r="M331" i="1"/>
  <c r="L338" i="1"/>
  <c r="M323" i="1"/>
  <c r="M337" i="1"/>
  <c r="L333" i="1"/>
  <c r="M344" i="1"/>
  <c r="M345" i="1"/>
  <c r="M343" i="1"/>
  <c r="M529" i="1"/>
  <c r="L116" i="1"/>
  <c r="M120" i="1"/>
  <c r="M124" i="1"/>
  <c r="L128" i="1"/>
  <c r="L136" i="1"/>
  <c r="M129" i="1"/>
  <c r="M130" i="1"/>
  <c r="M137" i="1"/>
  <c r="L120" i="1"/>
  <c r="L129" i="1"/>
  <c r="L131" i="1"/>
  <c r="L137" i="1"/>
  <c r="L335" i="1"/>
  <c r="L343" i="1"/>
  <c r="L323" i="1"/>
  <c r="L331" i="1"/>
  <c r="M341" i="1"/>
  <c r="L328" i="1"/>
  <c r="M333" i="1"/>
  <c r="L340" i="1"/>
  <c r="M325" i="1"/>
  <c r="M339" i="1"/>
  <c r="M342" i="1"/>
  <c r="M329" i="1"/>
  <c r="L346" i="1"/>
  <c r="M537" i="1"/>
  <c r="L537" i="1"/>
  <c r="M117" i="1"/>
  <c r="M121" i="1"/>
  <c r="L117" i="1"/>
  <c r="L130" i="1"/>
  <c r="L138" i="1"/>
  <c r="M132" i="1"/>
  <c r="L133" i="1"/>
  <c r="L114" i="1"/>
  <c r="L122" i="1"/>
  <c r="M135" i="1"/>
  <c r="M115" i="1"/>
  <c r="L121" i="1"/>
  <c r="L337" i="1"/>
  <c r="L345" i="1"/>
  <c r="M324" i="1"/>
  <c r="M332" i="1"/>
  <c r="L344" i="1"/>
  <c r="L329" i="1"/>
  <c r="M334" i="1"/>
  <c r="L342" i="1"/>
  <c r="M326" i="1"/>
  <c r="L326" i="1"/>
  <c r="L324" i="1"/>
  <c r="M322" i="1"/>
  <c r="L325" i="1"/>
  <c r="M545" i="1"/>
  <c r="L545" i="1"/>
  <c r="M118" i="1"/>
  <c r="M122" i="1"/>
  <c r="L125" i="1"/>
  <c r="L132" i="1"/>
  <c r="M114" i="1"/>
  <c r="L115" i="1"/>
  <c r="M133" i="1"/>
  <c r="M116" i="1"/>
  <c r="L124" i="1"/>
  <c r="M138" i="1"/>
  <c r="L119" i="1"/>
  <c r="M128" i="1"/>
  <c r="L339" i="1"/>
  <c r="M125" i="1"/>
  <c r="L327" i="1"/>
  <c r="L336" i="1"/>
  <c r="M346" i="1"/>
  <c r="L330" i="1"/>
  <c r="M336" i="1"/>
  <c r="L322" i="1"/>
  <c r="M335" i="1"/>
  <c r="M330" i="1"/>
  <c r="M340" i="1"/>
  <c r="L332" i="1"/>
  <c r="L334" i="1"/>
  <c r="M327" i="1"/>
  <c r="L553" i="1"/>
  <c r="L555" i="1"/>
  <c r="L547" i="1"/>
  <c r="M397" i="1"/>
  <c r="M555" i="1"/>
  <c r="M172" i="1"/>
  <c r="M180" i="1"/>
  <c r="L539" i="1"/>
  <c r="M167" i="1"/>
  <c r="M174" i="1"/>
  <c r="M182" i="1"/>
  <c r="M176" i="1"/>
  <c r="M188" i="1"/>
  <c r="L171" i="1"/>
  <c r="L179" i="1"/>
  <c r="L187" i="1"/>
  <c r="L178" i="1"/>
  <c r="L166" i="1"/>
  <c r="M183" i="1"/>
  <c r="M166" i="1"/>
  <c r="L172" i="1"/>
  <c r="L378" i="1"/>
  <c r="L386" i="1"/>
  <c r="L394" i="1"/>
  <c r="M181" i="1"/>
  <c r="L180" i="1"/>
  <c r="M379" i="1"/>
  <c r="M390" i="1"/>
  <c r="M377" i="1"/>
  <c r="M388" i="1"/>
  <c r="M375" i="1"/>
  <c r="M386" i="1"/>
  <c r="L397" i="1"/>
  <c r="M539" i="1"/>
  <c r="M392" i="1"/>
  <c r="M547" i="1"/>
  <c r="M178" i="1"/>
  <c r="M190" i="1"/>
  <c r="L173" i="1"/>
  <c r="L181" i="1"/>
  <c r="L189" i="1"/>
  <c r="L182" i="1"/>
  <c r="M171" i="1"/>
  <c r="M187" i="1"/>
  <c r="M169" i="1"/>
  <c r="M173" i="1"/>
  <c r="L380" i="1"/>
  <c r="L388" i="1"/>
  <c r="L396" i="1"/>
  <c r="L374" i="1"/>
  <c r="M177" i="1"/>
  <c r="M382" i="1"/>
  <c r="L393" i="1"/>
  <c r="M380" i="1"/>
  <c r="L391" i="1"/>
  <c r="M378" i="1"/>
  <c r="L389" i="1"/>
  <c r="M376" i="1"/>
  <c r="M381" i="1"/>
  <c r="M531" i="1"/>
  <c r="L167" i="1"/>
  <c r="M184" i="1"/>
  <c r="L168" i="1"/>
  <c r="L175" i="1"/>
  <c r="L183" i="1"/>
  <c r="L170" i="1"/>
  <c r="L186" i="1"/>
  <c r="M175" i="1"/>
  <c r="L176" i="1"/>
  <c r="L188" i="1"/>
  <c r="M185" i="1"/>
  <c r="L382" i="1"/>
  <c r="L390" i="1"/>
  <c r="L398" i="1"/>
  <c r="L375" i="1"/>
  <c r="M374" i="1"/>
  <c r="L385" i="1"/>
  <c r="M395" i="1"/>
  <c r="L383" i="1"/>
  <c r="M393" i="1"/>
  <c r="L381" i="1"/>
  <c r="M391" i="1"/>
  <c r="M389" i="1"/>
  <c r="L387" i="1"/>
  <c r="M170" i="1"/>
  <c r="M186" i="1"/>
  <c r="L169" i="1"/>
  <c r="L177" i="1"/>
  <c r="L185" i="1"/>
  <c r="L174" i="1"/>
  <c r="L190" i="1"/>
  <c r="M179" i="1"/>
  <c r="L184" i="1"/>
  <c r="M189" i="1"/>
  <c r="L376" i="1"/>
  <c r="L384" i="1"/>
  <c r="L392" i="1"/>
  <c r="L531" i="1"/>
  <c r="M168" i="1"/>
  <c r="L377" i="1"/>
  <c r="M387" i="1"/>
  <c r="M398" i="1"/>
  <c r="M385" i="1"/>
  <c r="M396" i="1"/>
  <c r="M383" i="1"/>
  <c r="M394" i="1"/>
  <c r="L395" i="1"/>
  <c r="L379" i="1"/>
  <c r="M384" i="1"/>
  <c r="L538" i="1"/>
  <c r="M554" i="1"/>
  <c r="L546" i="1"/>
  <c r="L144" i="1"/>
  <c r="M152" i="1"/>
  <c r="M143" i="1"/>
  <c r="M145" i="1"/>
  <c r="L151" i="1"/>
  <c r="L354" i="1"/>
  <c r="L370" i="1"/>
  <c r="M363" i="1"/>
  <c r="M365" i="1"/>
  <c r="L357" i="1"/>
  <c r="M362" i="1"/>
  <c r="M357" i="1"/>
  <c r="L146" i="1"/>
  <c r="L159" i="1"/>
  <c r="L372" i="1"/>
  <c r="M352" i="1"/>
  <c r="L155" i="1"/>
  <c r="L530" i="1"/>
  <c r="M146" i="1"/>
  <c r="M154" i="1"/>
  <c r="M161" i="1"/>
  <c r="M355" i="1"/>
  <c r="L359" i="1"/>
  <c r="M546" i="1"/>
  <c r="L147" i="1"/>
  <c r="L150" i="1"/>
  <c r="L158" i="1"/>
  <c r="M147" i="1"/>
  <c r="M156" i="1"/>
  <c r="M164" i="1"/>
  <c r="M151" i="1"/>
  <c r="M163" i="1"/>
  <c r="L149" i="1"/>
  <c r="L164" i="1"/>
  <c r="L163" i="1"/>
  <c r="L350" i="1"/>
  <c r="L358" i="1"/>
  <c r="L366" i="1"/>
  <c r="M148" i="1"/>
  <c r="M358" i="1"/>
  <c r="L369" i="1"/>
  <c r="M354" i="1"/>
  <c r="M369" i="1"/>
  <c r="M353" i="1"/>
  <c r="M368" i="1"/>
  <c r="L349" i="1"/>
  <c r="M348" i="1"/>
  <c r="M360" i="1"/>
  <c r="M361" i="1"/>
  <c r="L554" i="1"/>
  <c r="M162" i="1"/>
  <c r="L148" i="1"/>
  <c r="L356" i="1"/>
  <c r="M367" i="1"/>
  <c r="M157" i="1"/>
  <c r="L141" i="1"/>
  <c r="M141" i="1"/>
  <c r="L152" i="1"/>
  <c r="L160" i="1"/>
  <c r="M150" i="1"/>
  <c r="M158" i="1"/>
  <c r="M140" i="1"/>
  <c r="M155" i="1"/>
  <c r="M142" i="1"/>
  <c r="L153" i="1"/>
  <c r="L140" i="1"/>
  <c r="M153" i="1"/>
  <c r="L352" i="1"/>
  <c r="L360" i="1"/>
  <c r="L368" i="1"/>
  <c r="M350" i="1"/>
  <c r="L361" i="1"/>
  <c r="M371" i="1"/>
  <c r="M356" i="1"/>
  <c r="L371" i="1"/>
  <c r="L355" i="1"/>
  <c r="M370" i="1"/>
  <c r="L351" i="1"/>
  <c r="M359" i="1"/>
  <c r="M364" i="1"/>
  <c r="L365" i="1"/>
  <c r="L143" i="1"/>
  <c r="L154" i="1"/>
  <c r="L142" i="1"/>
  <c r="M160" i="1"/>
  <c r="M159" i="1"/>
  <c r="L157" i="1"/>
  <c r="L162" i="1"/>
  <c r="L362" i="1"/>
  <c r="L353" i="1"/>
  <c r="M149" i="1"/>
  <c r="M349" i="1"/>
  <c r="M372" i="1"/>
  <c r="L363" i="1"/>
  <c r="M538" i="1"/>
  <c r="M530" i="1"/>
  <c r="L145" i="1"/>
  <c r="L156" i="1"/>
  <c r="M144" i="1"/>
  <c r="L161" i="1"/>
  <c r="L348" i="1"/>
  <c r="L364" i="1"/>
  <c r="M366" i="1"/>
  <c r="M351" i="1"/>
  <c r="L367" i="1"/>
  <c r="J553" i="1"/>
  <c r="I553" i="1"/>
  <c r="J545" i="1"/>
  <c r="I545" i="1"/>
  <c r="I529" i="1"/>
  <c r="J529" i="1"/>
  <c r="I537" i="1"/>
  <c r="J537" i="1"/>
  <c r="P529" i="1"/>
  <c r="O537" i="1"/>
  <c r="O117" i="1"/>
  <c r="O131" i="1"/>
  <c r="P116" i="1"/>
  <c r="O121" i="1"/>
  <c r="O125" i="1"/>
  <c r="O134" i="1"/>
  <c r="P120" i="1"/>
  <c r="P124" i="1"/>
  <c r="O132" i="1"/>
  <c r="O130" i="1"/>
  <c r="P137" i="1"/>
  <c r="P135" i="1"/>
  <c r="O323" i="1"/>
  <c r="O327" i="1"/>
  <c r="O331" i="1"/>
  <c r="O336" i="1"/>
  <c r="O344" i="1"/>
  <c r="P333" i="1"/>
  <c r="O343" i="1"/>
  <c r="P339" i="1"/>
  <c r="P324" i="1"/>
  <c r="P344" i="1"/>
  <c r="P338" i="1"/>
  <c r="P331" i="1"/>
  <c r="O339" i="1"/>
  <c r="O116" i="1"/>
  <c r="O120" i="1"/>
  <c r="P131" i="1"/>
  <c r="P123" i="1"/>
  <c r="P127" i="1"/>
  <c r="P132" i="1"/>
  <c r="O322" i="1"/>
  <c r="O330" i="1"/>
  <c r="O342" i="1"/>
  <c r="P340" i="1"/>
  <c r="O345" i="1"/>
  <c r="P334" i="1"/>
  <c r="P326" i="1"/>
  <c r="O114" i="1"/>
  <c r="P114" i="1"/>
  <c r="O133" i="1"/>
  <c r="O118" i="1"/>
  <c r="O122" i="1"/>
  <c r="O126" i="1"/>
  <c r="P117" i="1"/>
  <c r="P121" i="1"/>
  <c r="P125" i="1"/>
  <c r="P134" i="1"/>
  <c r="P136" i="1"/>
  <c r="O128" i="1"/>
  <c r="O138" i="1"/>
  <c r="O324" i="1"/>
  <c r="O328" i="1"/>
  <c r="O332" i="1"/>
  <c r="O338" i="1"/>
  <c r="O346" i="1"/>
  <c r="O335" i="1"/>
  <c r="P345" i="1"/>
  <c r="P341" i="1"/>
  <c r="P327" i="1"/>
  <c r="P346" i="1"/>
  <c r="P328" i="1"/>
  <c r="P335" i="1"/>
  <c r="O529" i="1"/>
  <c r="O553" i="1"/>
  <c r="O127" i="1"/>
  <c r="O119" i="1"/>
  <c r="P128" i="1"/>
  <c r="P122" i="1"/>
  <c r="P115" i="1"/>
  <c r="O136" i="1"/>
  <c r="O325" i="1"/>
  <c r="O333" i="1"/>
  <c r="O340" i="1"/>
  <c r="P337" i="1"/>
  <c r="P343" i="1"/>
  <c r="P323" i="1"/>
  <c r="O337" i="1"/>
  <c r="O545" i="1"/>
  <c r="O129" i="1"/>
  <c r="O137" i="1"/>
  <c r="O124" i="1"/>
  <c r="P119" i="1"/>
  <c r="P129" i="1"/>
  <c r="P133" i="1"/>
  <c r="O326" i="1"/>
  <c r="O334" i="1"/>
  <c r="P329" i="1"/>
  <c r="P332" i="1"/>
  <c r="P342" i="1"/>
  <c r="O341" i="1"/>
  <c r="P545" i="1"/>
  <c r="P553" i="1"/>
  <c r="O115" i="1"/>
  <c r="O135" i="1"/>
  <c r="O123" i="1"/>
  <c r="P118" i="1"/>
  <c r="P126" i="1"/>
  <c r="P130" i="1"/>
  <c r="P138" i="1"/>
  <c r="O329" i="1"/>
  <c r="P325" i="1"/>
  <c r="P322" i="1"/>
  <c r="P330" i="1"/>
  <c r="P336" i="1"/>
  <c r="P537" i="1"/>
  <c r="G405" i="1"/>
  <c r="G540" i="1"/>
  <c r="G418" i="1"/>
  <c r="F198" i="1"/>
  <c r="F199" i="1"/>
  <c r="F416" i="1"/>
  <c r="F406" i="1"/>
  <c r="G556" i="1"/>
  <c r="F196" i="1"/>
  <c r="G382" i="1"/>
  <c r="G185" i="1"/>
  <c r="G186" i="1"/>
  <c r="F379" i="1"/>
  <c r="F190" i="1"/>
  <c r="F166" i="1"/>
  <c r="G174" i="1"/>
  <c r="G175" i="1"/>
  <c r="F168" i="1"/>
  <c r="G397" i="1"/>
  <c r="F397" i="1"/>
  <c r="F394" i="1"/>
  <c r="G555" i="1"/>
  <c r="G166" i="1"/>
  <c r="G189" i="1"/>
  <c r="G181" i="1"/>
  <c r="F169" i="1"/>
  <c r="F389" i="1"/>
  <c r="F391" i="1"/>
  <c r="F185" i="1"/>
  <c r="G384" i="1"/>
  <c r="G374" i="1"/>
  <c r="G387" i="1"/>
  <c r="G172" i="1"/>
  <c r="G388" i="1"/>
  <c r="G381" i="1"/>
  <c r="F386" i="1"/>
  <c r="G183" i="1"/>
  <c r="F173" i="1"/>
  <c r="G380" i="1"/>
  <c r="G187" i="1"/>
  <c r="F187" i="1"/>
  <c r="G170" i="1"/>
  <c r="G539" i="1"/>
  <c r="F174" i="1"/>
  <c r="G176" i="1"/>
  <c r="G395" i="1"/>
  <c r="F179" i="1"/>
  <c r="F374" i="1"/>
  <c r="F555" i="1"/>
  <c r="F186" i="1"/>
  <c r="G398" i="1"/>
  <c r="F181" i="1"/>
  <c r="F172" i="1"/>
  <c r="G393" i="1"/>
  <c r="F176" i="1"/>
  <c r="F387" i="1"/>
  <c r="G178" i="1"/>
  <c r="F378" i="1"/>
  <c r="G396" i="1"/>
  <c r="F180" i="1"/>
  <c r="G383" i="1"/>
  <c r="F183" i="1"/>
  <c r="F539" i="1"/>
  <c r="F393" i="1"/>
  <c r="G171" i="1"/>
  <c r="G376" i="1"/>
  <c r="G188" i="1"/>
  <c r="F388" i="1"/>
  <c r="G378" i="1"/>
  <c r="G173" i="1"/>
  <c r="F377" i="1"/>
  <c r="G190" i="1"/>
  <c r="F396" i="1"/>
  <c r="G386" i="1"/>
  <c r="F383" i="1"/>
  <c r="F375" i="1"/>
  <c r="F184" i="1"/>
  <c r="F171" i="1"/>
  <c r="G377" i="1"/>
  <c r="G169" i="1"/>
  <c r="F382" i="1"/>
  <c r="G394" i="1"/>
  <c r="F188" i="1"/>
  <c r="F395" i="1"/>
  <c r="G184" i="1"/>
  <c r="F384" i="1"/>
  <c r="G375" i="1"/>
  <c r="G167" i="1"/>
  <c r="F398" i="1"/>
  <c r="G531" i="1"/>
  <c r="G168" i="1"/>
  <c r="G390" i="1"/>
  <c r="F175" i="1"/>
  <c r="F531" i="1"/>
  <c r="F385" i="1"/>
  <c r="F547" i="1"/>
  <c r="F182" i="1"/>
  <c r="F170" i="1"/>
  <c r="F177" i="1"/>
  <c r="F376" i="1"/>
  <c r="G389" i="1"/>
  <c r="G180" i="1"/>
  <c r="F380" i="1"/>
  <c r="F381" i="1"/>
  <c r="G547" i="1"/>
  <c r="F390" i="1"/>
  <c r="G391" i="1"/>
  <c r="G177" i="1"/>
  <c r="G179" i="1"/>
  <c r="G385" i="1"/>
  <c r="G392" i="1"/>
  <c r="G379" i="1"/>
  <c r="F167" i="1"/>
  <c r="F392" i="1"/>
  <c r="F178" i="1"/>
  <c r="F189" i="1"/>
  <c r="F548" i="1"/>
  <c r="G195" i="1"/>
  <c r="G212" i="1"/>
  <c r="F202" i="1"/>
  <c r="F207" i="1"/>
  <c r="F419" i="1"/>
  <c r="F404" i="1"/>
  <c r="F540" i="1"/>
  <c r="G401" i="1"/>
  <c r="G548" i="1"/>
  <c r="G420" i="1"/>
  <c r="G424" i="1"/>
  <c r="G421" i="1"/>
  <c r="F200" i="1"/>
  <c r="F418" i="1"/>
  <c r="F211" i="1"/>
  <c r="F193" i="1"/>
  <c r="F203" i="1"/>
  <c r="G417" i="1"/>
  <c r="G204" i="1"/>
  <c r="G412" i="1"/>
  <c r="G423" i="1"/>
  <c r="F205" i="1"/>
  <c r="F210" i="1"/>
  <c r="F415" i="1"/>
  <c r="F215" i="1"/>
  <c r="F413" i="1"/>
  <c r="F417" i="1"/>
  <c r="G216" i="1"/>
  <c r="G213" i="1"/>
  <c r="G404" i="1"/>
  <c r="F216" i="1"/>
  <c r="G203" i="1"/>
  <c r="F407" i="1"/>
  <c r="F411" i="1"/>
  <c r="F405" i="1"/>
  <c r="F194" i="1"/>
  <c r="F201" i="1"/>
  <c r="G403" i="1"/>
  <c r="G406" i="1"/>
  <c r="G193" i="1"/>
  <c r="G400" i="1"/>
  <c r="F214" i="1"/>
  <c r="F532" i="1"/>
  <c r="F212" i="1"/>
  <c r="G214" i="1"/>
  <c r="G215" i="1"/>
  <c r="F420" i="1"/>
  <c r="G410" i="1"/>
  <c r="F192" i="1"/>
  <c r="G532" i="1"/>
  <c r="G210" i="1"/>
  <c r="G211" i="1"/>
  <c r="G206" i="1"/>
  <c r="F208" i="1"/>
  <c r="G407" i="1"/>
  <c r="F403" i="1"/>
  <c r="F400" i="1"/>
  <c r="G209" i="1"/>
  <c r="G419" i="1"/>
  <c r="G194" i="1"/>
  <c r="G416" i="1"/>
  <c r="F213" i="1"/>
  <c r="F414" i="1"/>
  <c r="G202" i="1"/>
  <c r="G200" i="1"/>
  <c r="F409" i="1"/>
  <c r="G413" i="1"/>
  <c r="F402" i="1"/>
  <c r="G207" i="1"/>
  <c r="G422" i="1"/>
  <c r="G205" i="1"/>
  <c r="F195" i="1"/>
  <c r="F410" i="1"/>
  <c r="F556" i="1"/>
  <c r="G196" i="1"/>
  <c r="G415" i="1"/>
  <c r="G411" i="1"/>
  <c r="F206" i="1"/>
  <c r="G408" i="1"/>
  <c r="F204" i="1"/>
  <c r="G201" i="1"/>
  <c r="F197" i="1"/>
  <c r="F422" i="1"/>
  <c r="G198" i="1"/>
  <c r="F209" i="1"/>
  <c r="F423" i="1"/>
  <c r="G402" i="1"/>
  <c r="F421" i="1"/>
  <c r="F424" i="1"/>
  <c r="F408" i="1"/>
  <c r="G192" i="1"/>
  <c r="G208" i="1"/>
  <c r="F401" i="1"/>
  <c r="G409" i="1"/>
  <c r="G414" i="1"/>
  <c r="G199" i="1"/>
  <c r="F412" i="1"/>
  <c r="G160" i="1"/>
  <c r="F370" i="1"/>
  <c r="D171" i="1"/>
  <c r="F538" i="1"/>
  <c r="I325" i="1"/>
  <c r="C555" i="1"/>
  <c r="D172" i="1"/>
  <c r="J193" i="1"/>
  <c r="I344" i="1"/>
  <c r="D388" i="1"/>
  <c r="J346" i="1"/>
  <c r="J404" i="1"/>
  <c r="I405" i="1"/>
  <c r="I332" i="1"/>
  <c r="I193" i="1"/>
  <c r="J345" i="1"/>
  <c r="I341" i="1"/>
  <c r="C388" i="1"/>
  <c r="I400" i="1"/>
  <c r="I330" i="1"/>
  <c r="F358" i="1"/>
  <c r="G546" i="1"/>
  <c r="G350" i="1"/>
  <c r="F159" i="1"/>
  <c r="F363" i="1"/>
  <c r="F147" i="1"/>
  <c r="G163" i="1"/>
  <c r="G355" i="1"/>
  <c r="F152" i="1"/>
  <c r="F360" i="1"/>
  <c r="G538" i="1"/>
  <c r="F155" i="1"/>
  <c r="F371" i="1"/>
  <c r="F146" i="1"/>
  <c r="G155" i="1"/>
  <c r="G369" i="1"/>
  <c r="G156" i="1"/>
  <c r="G367" i="1"/>
  <c r="G154" i="1"/>
  <c r="F364" i="1"/>
  <c r="G359" i="1"/>
  <c r="G142" i="1"/>
  <c r="G365" i="1"/>
  <c r="G140" i="1"/>
  <c r="F369" i="1"/>
  <c r="G352" i="1"/>
  <c r="F163" i="1"/>
  <c r="G530" i="1"/>
  <c r="G360" i="1"/>
  <c r="F151" i="1"/>
  <c r="F145" i="1"/>
  <c r="G368" i="1"/>
  <c r="F161" i="1"/>
  <c r="G143" i="1"/>
  <c r="G354" i="1"/>
  <c r="F352" i="1"/>
  <c r="G146" i="1"/>
  <c r="D392" i="1"/>
  <c r="C387" i="1"/>
  <c r="F353" i="1"/>
  <c r="F140" i="1"/>
  <c r="F350" i="1"/>
  <c r="F144" i="1"/>
  <c r="G358" i="1"/>
  <c r="F356" i="1"/>
  <c r="G152" i="1"/>
  <c r="G371" i="1"/>
  <c r="F362" i="1"/>
  <c r="G158" i="1"/>
  <c r="F351" i="1"/>
  <c r="F355" i="1"/>
  <c r="G144" i="1"/>
  <c r="F141" i="1"/>
  <c r="D395" i="1"/>
  <c r="C181" i="1"/>
  <c r="D180" i="1"/>
  <c r="G366" i="1"/>
  <c r="F367" i="1"/>
  <c r="F359" i="1"/>
  <c r="G151" i="1"/>
  <c r="F164" i="1"/>
  <c r="F148" i="1"/>
  <c r="F156" i="1"/>
  <c r="F365" i="1"/>
  <c r="G372" i="1"/>
  <c r="G349" i="1"/>
  <c r="F348" i="1"/>
  <c r="G157" i="1"/>
  <c r="G141" i="1"/>
  <c r="G362" i="1"/>
  <c r="G356" i="1"/>
  <c r="G357" i="1"/>
  <c r="F354" i="1"/>
  <c r="G147" i="1"/>
  <c r="G150" i="1"/>
  <c r="F143" i="1"/>
  <c r="G364" i="1"/>
  <c r="F361" i="1"/>
  <c r="F157" i="1"/>
  <c r="F142" i="1"/>
  <c r="G149" i="1"/>
  <c r="F158" i="1"/>
  <c r="G554" i="1"/>
  <c r="F554" i="1"/>
  <c r="F530" i="1"/>
  <c r="G348" i="1"/>
  <c r="G351" i="1"/>
  <c r="F366" i="1"/>
  <c r="F153" i="1"/>
  <c r="G162" i="1"/>
  <c r="G148" i="1"/>
  <c r="G363" i="1"/>
  <c r="F357" i="1"/>
  <c r="F372" i="1"/>
  <c r="G161" i="1"/>
  <c r="G145" i="1"/>
  <c r="F154" i="1"/>
  <c r="G361" i="1"/>
  <c r="G370" i="1"/>
  <c r="G159" i="1"/>
  <c r="F149" i="1"/>
  <c r="G153" i="1"/>
  <c r="F160" i="1"/>
  <c r="F546" i="1"/>
  <c r="F349" i="1"/>
  <c r="G353" i="1"/>
  <c r="F368" i="1"/>
  <c r="F162" i="1"/>
  <c r="G164" i="1"/>
  <c r="I337" i="1"/>
  <c r="J333" i="1"/>
  <c r="J213" i="1"/>
  <c r="J216" i="1"/>
  <c r="I196" i="1"/>
  <c r="J332" i="1"/>
  <c r="J328" i="1"/>
  <c r="I326" i="1"/>
  <c r="J322" i="1"/>
  <c r="I345" i="1"/>
  <c r="C374" i="1"/>
  <c r="D189" i="1"/>
  <c r="D387" i="1"/>
  <c r="I410" i="1"/>
  <c r="I213" i="1"/>
  <c r="I336" i="1"/>
  <c r="J339" i="1"/>
  <c r="J335" i="1"/>
  <c r="I328" i="1"/>
  <c r="J336" i="1"/>
  <c r="J327" i="1"/>
  <c r="I327" i="1"/>
  <c r="I339" i="1"/>
  <c r="J326" i="1"/>
  <c r="I322" i="1"/>
  <c r="J341" i="1"/>
  <c r="I333" i="1"/>
  <c r="J337" i="1"/>
  <c r="J334" i="1"/>
  <c r="I324" i="1"/>
  <c r="D397" i="1"/>
  <c r="C169" i="1"/>
  <c r="C175" i="1"/>
  <c r="C547" i="1"/>
  <c r="D186" i="1"/>
  <c r="D383" i="1"/>
  <c r="J323" i="1"/>
  <c r="J330" i="1"/>
  <c r="I323" i="1"/>
  <c r="J343" i="1"/>
  <c r="I342" i="1"/>
  <c r="J324" i="1"/>
  <c r="I329" i="1"/>
  <c r="J329" i="1"/>
  <c r="I346" i="1"/>
  <c r="D380" i="1"/>
  <c r="D183" i="1"/>
  <c r="D184" i="1"/>
  <c r="D381" i="1"/>
  <c r="C180" i="1"/>
  <c r="D375" i="1"/>
  <c r="C531" i="1"/>
  <c r="C382" i="1"/>
  <c r="D386" i="1"/>
  <c r="D393" i="1"/>
  <c r="C391" i="1"/>
  <c r="C167" i="1"/>
  <c r="C184" i="1"/>
  <c r="D175" i="1"/>
  <c r="D394" i="1"/>
  <c r="C378" i="1"/>
  <c r="C397" i="1"/>
  <c r="C187" i="1"/>
  <c r="C190" i="1"/>
  <c r="D181" i="1"/>
  <c r="C390" i="1"/>
  <c r="D396" i="1"/>
  <c r="D377" i="1"/>
  <c r="C379" i="1"/>
  <c r="D170" i="1"/>
  <c r="C172" i="1"/>
  <c r="D166" i="1"/>
  <c r="D389" i="1"/>
  <c r="C396" i="1"/>
  <c r="C393" i="1"/>
  <c r="C171" i="1"/>
  <c r="J331" i="1"/>
  <c r="J342" i="1"/>
  <c r="I331" i="1"/>
  <c r="J338" i="1"/>
  <c r="J325" i="1"/>
  <c r="I334" i="1"/>
  <c r="I343" i="1"/>
  <c r="J344" i="1"/>
  <c r="I340" i="1"/>
  <c r="J340" i="1"/>
  <c r="I335" i="1"/>
  <c r="I338" i="1"/>
  <c r="C539" i="1"/>
  <c r="D539" i="1"/>
  <c r="D374" i="1"/>
  <c r="D382" i="1"/>
  <c r="C383" i="1"/>
  <c r="D178" i="1"/>
  <c r="C176" i="1"/>
  <c r="D167" i="1"/>
  <c r="C384" i="1"/>
  <c r="D390" i="1"/>
  <c r="C389" i="1"/>
  <c r="D190" i="1"/>
  <c r="C182" i="1"/>
  <c r="D173" i="1"/>
  <c r="D379" i="1"/>
  <c r="C386" i="1"/>
  <c r="D188" i="1"/>
  <c r="C183" i="1"/>
  <c r="C177" i="1"/>
  <c r="D187" i="1"/>
  <c r="D547" i="1"/>
  <c r="D378" i="1"/>
  <c r="D385" i="1"/>
  <c r="C385" i="1"/>
  <c r="C189" i="1"/>
  <c r="C376" i="1"/>
  <c r="C398" i="1"/>
  <c r="D391" i="1"/>
  <c r="D176" i="1"/>
  <c r="C375" i="1"/>
  <c r="C185" i="1"/>
  <c r="C168" i="1"/>
  <c r="D531" i="1"/>
  <c r="C166" i="1"/>
  <c r="C380" i="1"/>
  <c r="C381" i="1"/>
  <c r="D174" i="1"/>
  <c r="C174" i="1"/>
  <c r="D168" i="1"/>
  <c r="C392" i="1"/>
  <c r="D398" i="1"/>
  <c r="C395" i="1"/>
  <c r="C179" i="1"/>
  <c r="C188" i="1"/>
  <c r="D179" i="1"/>
  <c r="D384" i="1"/>
  <c r="C394" i="1"/>
  <c r="D376" i="1"/>
  <c r="C377" i="1"/>
  <c r="D177" i="1"/>
  <c r="C173" i="1"/>
  <c r="C170" i="1"/>
  <c r="D169" i="1"/>
  <c r="D185" i="1"/>
  <c r="D182" i="1"/>
  <c r="C178" i="1"/>
  <c r="J146" i="1"/>
  <c r="D555" i="1"/>
  <c r="J392" i="1"/>
  <c r="I409" i="1"/>
  <c r="I413" i="1"/>
  <c r="J408" i="1"/>
  <c r="I422" i="1"/>
  <c r="J365" i="1"/>
  <c r="I364" i="1"/>
  <c r="J144" i="1"/>
  <c r="J359" i="1"/>
  <c r="J371" i="1"/>
  <c r="I554" i="1"/>
  <c r="I184" i="1"/>
  <c r="J546" i="1"/>
  <c r="J149" i="1"/>
  <c r="I367" i="1"/>
  <c r="I420" i="1"/>
  <c r="J401" i="1"/>
  <c r="J415" i="1"/>
  <c r="J198" i="1"/>
  <c r="J556" i="1"/>
  <c r="I365" i="1"/>
  <c r="J164" i="1"/>
  <c r="I151" i="1"/>
  <c r="J424" i="1"/>
  <c r="I208" i="1"/>
  <c r="I411" i="1"/>
  <c r="I204" i="1"/>
  <c r="J420" i="1"/>
  <c r="I202" i="1"/>
  <c r="J406" i="1"/>
  <c r="J402" i="1"/>
  <c r="I206" i="1"/>
  <c r="J195" i="1"/>
  <c r="I209" i="1"/>
  <c r="I548" i="1"/>
  <c r="J412" i="1"/>
  <c r="I532" i="1"/>
  <c r="J209" i="1"/>
  <c r="I199" i="1"/>
  <c r="J410" i="1"/>
  <c r="I419" i="1"/>
  <c r="I408" i="1"/>
  <c r="I216" i="1"/>
  <c r="J206" i="1"/>
  <c r="J540" i="1"/>
  <c r="J416" i="1"/>
  <c r="I194" i="1"/>
  <c r="J204" i="1"/>
  <c r="J210" i="1"/>
  <c r="J203" i="1"/>
  <c r="I556" i="1"/>
  <c r="I407" i="1"/>
  <c r="I414" i="1"/>
  <c r="I211" i="1"/>
  <c r="J419" i="1"/>
  <c r="I417" i="1"/>
  <c r="I412" i="1"/>
  <c r="J414" i="1"/>
  <c r="I402" i="1"/>
  <c r="J200" i="1"/>
  <c r="I205" i="1"/>
  <c r="I421" i="1"/>
  <c r="J413" i="1"/>
  <c r="J199" i="1"/>
  <c r="I192" i="1"/>
  <c r="J202" i="1"/>
  <c r="I423" i="1"/>
  <c r="J400" i="1"/>
  <c r="I198" i="1"/>
  <c r="I207" i="1"/>
  <c r="J192" i="1"/>
  <c r="J409" i="1"/>
  <c r="I416" i="1"/>
  <c r="J205" i="1"/>
  <c r="I197" i="1"/>
  <c r="J407" i="1"/>
  <c r="I401" i="1"/>
  <c r="I214" i="1"/>
  <c r="J212" i="1"/>
  <c r="J150" i="1"/>
  <c r="J151" i="1"/>
  <c r="I362" i="1"/>
  <c r="J369" i="1"/>
  <c r="I156" i="1"/>
  <c r="J141" i="1"/>
  <c r="J547" i="1"/>
  <c r="J360" i="1"/>
  <c r="J147" i="1"/>
  <c r="I363" i="1"/>
  <c r="I360" i="1"/>
  <c r="I162" i="1"/>
  <c r="J362" i="1"/>
  <c r="J388" i="1"/>
  <c r="J175" i="1"/>
  <c r="J169" i="1"/>
  <c r="J538" i="1"/>
  <c r="I530" i="1"/>
  <c r="J162" i="1"/>
  <c r="I146" i="1"/>
  <c r="I350" i="1"/>
  <c r="I355" i="1"/>
  <c r="J140" i="1"/>
  <c r="J355" i="1"/>
  <c r="J348" i="1"/>
  <c r="J163" i="1"/>
  <c r="I358" i="1"/>
  <c r="J143" i="1"/>
  <c r="J153" i="1"/>
  <c r="I387" i="1"/>
  <c r="J396" i="1"/>
  <c r="J350" i="1"/>
  <c r="J158" i="1"/>
  <c r="J159" i="1"/>
  <c r="J354" i="1"/>
  <c r="J372" i="1"/>
  <c r="I158" i="1"/>
  <c r="I144" i="1"/>
  <c r="I348" i="1"/>
  <c r="I353" i="1"/>
  <c r="I159" i="1"/>
  <c r="J352" i="1"/>
  <c r="I147" i="1"/>
  <c r="I148" i="1"/>
  <c r="J184" i="1"/>
  <c r="I177" i="1"/>
  <c r="J154" i="1"/>
  <c r="I149" i="1"/>
  <c r="J161" i="1"/>
  <c r="J357" i="1"/>
  <c r="I352" i="1"/>
  <c r="J364" i="1"/>
  <c r="I357" i="1"/>
  <c r="I141" i="1"/>
  <c r="I143" i="1"/>
  <c r="J530" i="1"/>
  <c r="J366" i="1"/>
  <c r="I366" i="1"/>
  <c r="J351" i="1"/>
  <c r="I161" i="1"/>
  <c r="J152" i="1"/>
  <c r="I153" i="1"/>
  <c r="I546" i="1"/>
  <c r="I163" i="1"/>
  <c r="J349" i="1"/>
  <c r="I369" i="1"/>
  <c r="I152" i="1"/>
  <c r="J155" i="1"/>
  <c r="J142" i="1"/>
  <c r="J368" i="1"/>
  <c r="J361" i="1"/>
  <c r="J367" i="1"/>
  <c r="I359" i="1"/>
  <c r="I150" i="1"/>
  <c r="J145" i="1"/>
  <c r="I140" i="1"/>
  <c r="J554" i="1"/>
  <c r="J370" i="1"/>
  <c r="I368" i="1"/>
  <c r="I354" i="1"/>
  <c r="I349" i="1"/>
  <c r="J156" i="1"/>
  <c r="I155" i="1"/>
  <c r="I538" i="1"/>
  <c r="J353" i="1"/>
  <c r="J358" i="1"/>
  <c r="I371" i="1"/>
  <c r="I160" i="1"/>
  <c r="J157" i="1"/>
  <c r="I145" i="1"/>
  <c r="I372" i="1"/>
  <c r="J363" i="1"/>
  <c r="I370" i="1"/>
  <c r="I361" i="1"/>
  <c r="I154" i="1"/>
  <c r="J148" i="1"/>
  <c r="I142" i="1"/>
  <c r="I356" i="1"/>
  <c r="I164" i="1"/>
  <c r="J356" i="1"/>
  <c r="I351" i="1"/>
  <c r="J160" i="1"/>
  <c r="J384" i="1"/>
  <c r="I178" i="1"/>
  <c r="I393" i="1"/>
  <c r="J381" i="1"/>
  <c r="J382" i="1"/>
  <c r="J386" i="1"/>
  <c r="I376" i="1"/>
  <c r="I167" i="1"/>
  <c r="I171" i="1"/>
  <c r="J185" i="1"/>
  <c r="I380" i="1"/>
  <c r="J394" i="1"/>
  <c r="I189" i="1"/>
  <c r="I377" i="1"/>
  <c r="I183" i="1"/>
  <c r="I166" i="1"/>
  <c r="J398" i="1"/>
  <c r="J379" i="1"/>
  <c r="J383" i="1"/>
  <c r="I383" i="1"/>
  <c r="J176" i="1"/>
  <c r="I174" i="1"/>
  <c r="J168" i="1"/>
  <c r="J376" i="1"/>
  <c r="I397" i="1"/>
  <c r="J188" i="1"/>
  <c r="I172" i="1"/>
  <c r="J190" i="1"/>
  <c r="J174" i="1"/>
  <c r="I181" i="1"/>
  <c r="I190" i="1"/>
  <c r="J181" i="1"/>
  <c r="I398" i="1"/>
  <c r="J391" i="1"/>
  <c r="I381" i="1"/>
  <c r="J171" i="1"/>
  <c r="I555" i="1"/>
  <c r="J395" i="1"/>
  <c r="J375" i="1"/>
  <c r="I395" i="1"/>
  <c r="I185" i="1"/>
  <c r="I186" i="1"/>
  <c r="J177" i="1"/>
  <c r="J374" i="1"/>
  <c r="I384" i="1"/>
  <c r="J186" i="1"/>
  <c r="J182" i="1"/>
  <c r="J167" i="1"/>
  <c r="J183" i="1"/>
  <c r="I531" i="1"/>
  <c r="I392" i="1"/>
  <c r="J170" i="1"/>
  <c r="I375" i="1"/>
  <c r="I179" i="1"/>
  <c r="J189" i="1"/>
  <c r="J385" i="1"/>
  <c r="J378" i="1"/>
  <c r="I389" i="1"/>
  <c r="J172" i="1"/>
  <c r="J179" i="1"/>
  <c r="I188" i="1"/>
  <c r="J393" i="1"/>
  <c r="J397" i="1"/>
  <c r="I378" i="1"/>
  <c r="I379" i="1"/>
  <c r="I187" i="1"/>
  <c r="I170" i="1"/>
  <c r="J539" i="1"/>
  <c r="I382" i="1"/>
  <c r="I386" i="1"/>
  <c r="I385" i="1"/>
  <c r="J180" i="1"/>
  <c r="I176" i="1"/>
  <c r="I168" i="1"/>
  <c r="I390" i="1"/>
  <c r="I394" i="1"/>
  <c r="I391" i="1"/>
  <c r="I169" i="1"/>
  <c r="I182" i="1"/>
  <c r="J173" i="1"/>
  <c r="J387" i="1"/>
  <c r="J380" i="1"/>
  <c r="I374" i="1"/>
  <c r="I180" i="1"/>
  <c r="J166" i="1"/>
  <c r="J423" i="1"/>
  <c r="I415" i="1"/>
  <c r="I403" i="1"/>
  <c r="I404" i="1"/>
  <c r="J197" i="1"/>
  <c r="I201" i="1"/>
  <c r="J194" i="1"/>
  <c r="J418" i="1"/>
  <c r="J421" i="1"/>
  <c r="I418" i="1"/>
  <c r="I210" i="1"/>
  <c r="I215" i="1"/>
  <c r="J208" i="1"/>
  <c r="J411" i="1"/>
  <c r="J403" i="1"/>
  <c r="I424" i="1"/>
  <c r="J215" i="1"/>
  <c r="I200" i="1"/>
  <c r="J214" i="1"/>
  <c r="J532" i="1"/>
  <c r="J417" i="1"/>
  <c r="J405" i="1"/>
  <c r="I406" i="1"/>
  <c r="J201" i="1"/>
  <c r="I203" i="1"/>
  <c r="J196" i="1"/>
  <c r="J422" i="1"/>
  <c r="J207" i="1"/>
  <c r="J211" i="1"/>
  <c r="I212" i="1"/>
  <c r="I195" i="1"/>
  <c r="I540" i="1"/>
  <c r="I388" i="1"/>
  <c r="J389" i="1"/>
  <c r="I173" i="1"/>
  <c r="J178" i="1"/>
  <c r="I175" i="1"/>
  <c r="J187" i="1"/>
  <c r="J377" i="1"/>
  <c r="I539" i="1"/>
  <c r="I547" i="1"/>
  <c r="J531" i="1"/>
  <c r="J555" i="1"/>
  <c r="I396" i="1"/>
  <c r="C538" i="1"/>
  <c r="D554" i="1"/>
  <c r="D546" i="1"/>
  <c r="C554" i="1"/>
  <c r="C140" i="1"/>
  <c r="C148" i="1"/>
  <c r="C149" i="1"/>
  <c r="C157" i="1"/>
  <c r="D147" i="1"/>
  <c r="D155" i="1"/>
  <c r="D163" i="1"/>
  <c r="D158" i="1"/>
  <c r="C143" i="1"/>
  <c r="C162" i="1"/>
  <c r="D143" i="1"/>
  <c r="C351" i="1"/>
  <c r="C359" i="1"/>
  <c r="C367" i="1"/>
  <c r="C150" i="1"/>
  <c r="D350" i="1"/>
  <c r="D361" i="1"/>
  <c r="C372" i="1"/>
  <c r="C352" i="1"/>
  <c r="D367" i="1"/>
  <c r="D360" i="1"/>
  <c r="C368" i="1"/>
  <c r="D148" i="1"/>
  <c r="D357" i="1"/>
  <c r="C362" i="1"/>
  <c r="D355" i="1"/>
  <c r="D141" i="1"/>
  <c r="C153" i="1"/>
  <c r="C145" i="1"/>
  <c r="D157" i="1"/>
  <c r="D150" i="1"/>
  <c r="D140" i="1"/>
  <c r="D164" i="1"/>
  <c r="C158" i="1"/>
  <c r="C357" i="1"/>
  <c r="C369" i="1"/>
  <c r="C163" i="1"/>
  <c r="D358" i="1"/>
  <c r="C530" i="1"/>
  <c r="D363" i="1"/>
  <c r="D351" i="1"/>
  <c r="C370" i="1"/>
  <c r="C360" i="1"/>
  <c r="C358" i="1"/>
  <c r="D352" i="1"/>
  <c r="C142" i="1"/>
  <c r="D144" i="1"/>
  <c r="C155" i="1"/>
  <c r="D149" i="1"/>
  <c r="D159" i="1"/>
  <c r="D154" i="1"/>
  <c r="C152" i="1"/>
  <c r="D145" i="1"/>
  <c r="C349" i="1"/>
  <c r="C361" i="1"/>
  <c r="C371" i="1"/>
  <c r="C348" i="1"/>
  <c r="C364" i="1"/>
  <c r="D348" i="1"/>
  <c r="D365" i="1"/>
  <c r="D362" i="1"/>
  <c r="D160" i="1"/>
  <c r="D371" i="1"/>
  <c r="D370" i="1"/>
  <c r="D359" i="1"/>
  <c r="C144" i="1"/>
  <c r="C147" i="1"/>
  <c r="C159" i="1"/>
  <c r="D151" i="1"/>
  <c r="D161" i="1"/>
  <c r="C161" i="1"/>
  <c r="C156" i="1"/>
  <c r="C154" i="1"/>
  <c r="C353" i="1"/>
  <c r="C363" i="1"/>
  <c r="D162" i="1"/>
  <c r="D353" i="1"/>
  <c r="D366" i="1"/>
  <c r="C350" i="1"/>
  <c r="D146" i="1"/>
  <c r="D364" i="1"/>
  <c r="D354" i="1"/>
  <c r="D368" i="1"/>
  <c r="D530" i="1"/>
  <c r="C546" i="1"/>
  <c r="C146" i="1"/>
  <c r="C151" i="1"/>
  <c r="D142" i="1"/>
  <c r="D153" i="1"/>
  <c r="C141" i="1"/>
  <c r="C164" i="1"/>
  <c r="C160" i="1"/>
  <c r="D156" i="1"/>
  <c r="C355" i="1"/>
  <c r="C365" i="1"/>
  <c r="D152" i="1"/>
  <c r="C356" i="1"/>
  <c r="D369" i="1"/>
  <c r="C354" i="1"/>
  <c r="D349" i="1"/>
  <c r="C366" i="1"/>
  <c r="D356" i="1"/>
  <c r="D372" i="1"/>
  <c r="D538" i="1"/>
  <c r="G553" i="1"/>
  <c r="F545" i="1"/>
  <c r="F553" i="1"/>
  <c r="F537" i="1"/>
  <c r="G118" i="1"/>
  <c r="G122" i="1"/>
  <c r="F125" i="1"/>
  <c r="F132" i="1"/>
  <c r="F115" i="1"/>
  <c r="G131" i="1"/>
  <c r="F119" i="1"/>
  <c r="F123" i="1"/>
  <c r="G120" i="1"/>
  <c r="G115" i="1"/>
  <c r="F134" i="1"/>
  <c r="G126" i="1"/>
  <c r="F118" i="1"/>
  <c r="F124" i="1"/>
  <c r="F114" i="1"/>
  <c r="F131" i="1"/>
  <c r="G130" i="1"/>
  <c r="F133" i="1"/>
  <c r="F341" i="1"/>
  <c r="F324" i="1"/>
  <c r="F332" i="1"/>
  <c r="G340" i="1"/>
  <c r="G117" i="1"/>
  <c r="G337" i="1"/>
  <c r="G328" i="1"/>
  <c r="G334" i="1"/>
  <c r="F342" i="1"/>
  <c r="G332" i="1"/>
  <c r="F334" i="1"/>
  <c r="G346" i="1"/>
  <c r="F326" i="1"/>
  <c r="G545" i="1"/>
  <c r="G114" i="1"/>
  <c r="G121" i="1"/>
  <c r="F126" i="1"/>
  <c r="F136" i="1"/>
  <c r="F129" i="1"/>
  <c r="F120" i="1"/>
  <c r="F127" i="1"/>
  <c r="G116" i="1"/>
  <c r="F135" i="1"/>
  <c r="G127" i="1"/>
  <c r="F335" i="1"/>
  <c r="F343" i="1"/>
  <c r="G325" i="1"/>
  <c r="G333" i="1"/>
  <c r="G343" i="1"/>
  <c r="F322" i="1"/>
  <c r="G339" i="1"/>
  <c r="F329" i="1"/>
  <c r="G336" i="1"/>
  <c r="F344" i="1"/>
  <c r="F336" i="1"/>
  <c r="G345" i="1"/>
  <c r="G324" i="1"/>
  <c r="G342" i="1"/>
  <c r="F117" i="1"/>
  <c r="G123" i="1"/>
  <c r="F128" i="1"/>
  <c r="F138" i="1"/>
  <c r="G134" i="1"/>
  <c r="F121" i="1"/>
  <c r="G129" i="1"/>
  <c r="F137" i="1"/>
  <c r="G137" i="1"/>
  <c r="G138" i="1"/>
  <c r="F337" i="1"/>
  <c r="F345" i="1"/>
  <c r="F328" i="1"/>
  <c r="G335" i="1"/>
  <c r="F346" i="1"/>
  <c r="G323" i="1"/>
  <c r="G341" i="1"/>
  <c r="F330" i="1"/>
  <c r="G338" i="1"/>
  <c r="G322" i="1"/>
  <c r="F323" i="1"/>
  <c r="G330" i="1"/>
  <c r="F333" i="1"/>
  <c r="G529" i="1"/>
  <c r="G119" i="1"/>
  <c r="G124" i="1"/>
  <c r="F130" i="1"/>
  <c r="G125" i="1"/>
  <c r="F116" i="1"/>
  <c r="F122" i="1"/>
  <c r="G132" i="1"/>
  <c r="G128" i="1"/>
  <c r="G133" i="1"/>
  <c r="G136" i="1"/>
  <c r="F339" i="1"/>
  <c r="G135" i="1"/>
  <c r="G329" i="1"/>
  <c r="F338" i="1"/>
  <c r="F529" i="1"/>
  <c r="G326" i="1"/>
  <c r="F327" i="1"/>
  <c r="G331" i="1"/>
  <c r="F340" i="1"/>
  <c r="F325" i="1"/>
  <c r="G327" i="1"/>
  <c r="F331" i="1"/>
  <c r="G344" i="1"/>
  <c r="G537" i="1"/>
  <c r="C537" i="1"/>
  <c r="D529" i="1"/>
  <c r="D553" i="1"/>
  <c r="C545" i="1"/>
  <c r="C116" i="1"/>
  <c r="C119" i="1"/>
  <c r="C123" i="1"/>
  <c r="C131" i="1"/>
  <c r="D118" i="1"/>
  <c r="D122" i="1"/>
  <c r="C130" i="1"/>
  <c r="C128" i="1"/>
  <c r="D128" i="1"/>
  <c r="D125" i="1"/>
  <c r="D126" i="1"/>
  <c r="D117" i="1"/>
  <c r="C324" i="1"/>
  <c r="C328" i="1"/>
  <c r="C332" i="1"/>
  <c r="C338" i="1"/>
  <c r="C117" i="1"/>
  <c r="C120" i="1"/>
  <c r="C124" i="1"/>
  <c r="C133" i="1"/>
  <c r="D119" i="1"/>
  <c r="D123" i="1"/>
  <c r="D132" i="1"/>
  <c r="D130" i="1"/>
  <c r="D131" i="1"/>
  <c r="D134" i="1"/>
  <c r="C132" i="1"/>
  <c r="D136" i="1"/>
  <c r="C325" i="1"/>
  <c r="C329" i="1"/>
  <c r="C333" i="1"/>
  <c r="D116" i="1"/>
  <c r="C129" i="1"/>
  <c r="D121" i="1"/>
  <c r="D114" i="1"/>
  <c r="C138" i="1"/>
  <c r="D115" i="1"/>
  <c r="C327" i="1"/>
  <c r="C336" i="1"/>
  <c r="C346" i="1"/>
  <c r="D327" i="1"/>
  <c r="D341" i="1"/>
  <c r="D334" i="1"/>
  <c r="D325" i="1"/>
  <c r="D346" i="1"/>
  <c r="D338" i="1"/>
  <c r="C343" i="1"/>
  <c r="D329" i="1"/>
  <c r="D545" i="1"/>
  <c r="C553" i="1"/>
  <c r="C121" i="1"/>
  <c r="C135" i="1"/>
  <c r="D124" i="1"/>
  <c r="D133" i="1"/>
  <c r="C136" i="1"/>
  <c r="C322" i="1"/>
  <c r="C330" i="1"/>
  <c r="C340" i="1"/>
  <c r="D129" i="1"/>
  <c r="D331" i="1"/>
  <c r="D344" i="1"/>
  <c r="D343" i="1"/>
  <c r="D326" i="1"/>
  <c r="D328" i="1"/>
  <c r="D342" i="1"/>
  <c r="C345" i="1"/>
  <c r="C341" i="1"/>
  <c r="C115" i="1"/>
  <c r="C122" i="1"/>
  <c r="C137" i="1"/>
  <c r="D127" i="1"/>
  <c r="C125" i="1"/>
  <c r="D138" i="1"/>
  <c r="C323" i="1"/>
  <c r="C331" i="1"/>
  <c r="C342" i="1"/>
  <c r="C126" i="1"/>
  <c r="D336" i="1"/>
  <c r="D332" i="1"/>
  <c r="D345" i="1"/>
  <c r="C335" i="1"/>
  <c r="D340" i="1"/>
  <c r="D322" i="1"/>
  <c r="D337" i="1"/>
  <c r="C529" i="1"/>
  <c r="C118" i="1"/>
  <c r="C127" i="1"/>
  <c r="D120" i="1"/>
  <c r="D135" i="1"/>
  <c r="C134" i="1"/>
  <c r="D137" i="1"/>
  <c r="C326" i="1"/>
  <c r="C334" i="1"/>
  <c r="C344" i="1"/>
  <c r="D323" i="1"/>
  <c r="C339" i="1"/>
  <c r="D333" i="1"/>
  <c r="D324" i="1"/>
  <c r="C337" i="1"/>
  <c r="D330" i="1"/>
  <c r="D335" i="1"/>
  <c r="D339" i="1"/>
  <c r="D537" i="1"/>
</calcChain>
</file>

<file path=xl/sharedStrings.xml><?xml version="1.0" encoding="utf-8"?>
<sst xmlns="http://schemas.openxmlformats.org/spreadsheetml/2006/main" count="605" uniqueCount="415">
  <si>
    <t>M16A1</t>
    <phoneticPr fontId="1" type="noConversion"/>
  </si>
  <si>
    <t>M4A1</t>
    <phoneticPr fontId="1" type="noConversion"/>
  </si>
  <si>
    <t>No.</t>
    <phoneticPr fontId="1" type="noConversion"/>
  </si>
  <si>
    <t>1링</t>
  </si>
  <si>
    <t>2링</t>
  </si>
  <si>
    <t>3링</t>
  </si>
  <si>
    <t>4링</t>
  </si>
  <si>
    <t>5링</t>
  </si>
  <si>
    <t xml:space="preserve">	</t>
  </si>
  <si>
    <t>X</t>
    <phoneticPr fontId="1" type="noConversion"/>
  </si>
  <si>
    <t>Y</t>
    <phoneticPr fontId="1" type="noConversion"/>
  </si>
  <si>
    <t>Zas M21</t>
    <phoneticPr fontId="1" type="noConversion"/>
  </si>
  <si>
    <t>MDR</t>
    <phoneticPr fontId="1" type="noConversion"/>
  </si>
  <si>
    <t>MG36</t>
    <phoneticPr fontId="1" type="noConversion"/>
  </si>
  <si>
    <t>FP-6</t>
    <phoneticPr fontId="1" type="noConversion"/>
  </si>
  <si>
    <t>S.A.T8</t>
    <phoneticPr fontId="1" type="noConversion"/>
  </si>
  <si>
    <t>K5</t>
    <phoneticPr fontId="1" type="noConversion"/>
  </si>
  <si>
    <t>K11</t>
    <phoneticPr fontId="1" type="noConversion"/>
  </si>
  <si>
    <t>P22</t>
    <phoneticPr fontId="1" type="noConversion"/>
  </si>
  <si>
    <t>KSVK</t>
    <phoneticPr fontId="1" type="noConversion"/>
  </si>
  <si>
    <t>PA-15</t>
    <phoneticPr fontId="1" type="noConversion"/>
  </si>
  <si>
    <t>CAWS</t>
    <phoneticPr fontId="1" type="noConversion"/>
  </si>
  <si>
    <t>DP-12</t>
    <phoneticPr fontId="1" type="noConversion"/>
  </si>
  <si>
    <t>2B14</t>
    <phoneticPr fontId="1" type="noConversion"/>
  </si>
  <si>
    <t>G36 mod</t>
    <phoneticPr fontId="1" type="noConversion"/>
  </si>
  <si>
    <t>M4A1 mod</t>
    <phoneticPr fontId="1" type="noConversion"/>
  </si>
  <si>
    <t>HK416 mod</t>
    <phoneticPr fontId="1" type="noConversion"/>
  </si>
  <si>
    <t>MP-446 mod</t>
    <phoneticPr fontId="1" type="noConversion"/>
  </si>
  <si>
    <t>UMP9 mod</t>
    <phoneticPr fontId="1" type="noConversion"/>
  </si>
  <si>
    <t>StG44 mod</t>
    <phoneticPr fontId="1" type="noConversion"/>
  </si>
  <si>
    <t>r1</t>
    <phoneticPr fontId="1" type="noConversion"/>
  </si>
  <si>
    <t>r2</t>
    <phoneticPr fontId="1" type="noConversion"/>
  </si>
  <si>
    <t>r3</t>
    <phoneticPr fontId="1" type="noConversion"/>
  </si>
  <si>
    <t>r4</t>
    <phoneticPr fontId="1" type="noConversion"/>
  </si>
  <si>
    <t>r5</t>
    <phoneticPr fontId="1" type="noConversion"/>
  </si>
  <si>
    <t>r6</t>
    <phoneticPr fontId="1" type="noConversion"/>
  </si>
  <si>
    <t>x</t>
    <phoneticPr fontId="1" type="noConversion"/>
  </si>
  <si>
    <t>y</t>
    <phoneticPr fontId="1" type="noConversion"/>
  </si>
  <si>
    <t>type</t>
    <phoneticPr fontId="1" type="noConversion"/>
  </si>
  <si>
    <t>x offset</t>
    <phoneticPr fontId="1" type="noConversion"/>
  </si>
  <si>
    <t>y offset</t>
    <phoneticPr fontId="1" type="noConversion"/>
  </si>
  <si>
    <t>target</t>
    <phoneticPr fontId="1" type="noConversion"/>
  </si>
  <si>
    <t>x para</t>
    <phoneticPr fontId="1" type="noConversion"/>
  </si>
  <si>
    <t>y para</t>
    <phoneticPr fontId="1" type="noConversion"/>
  </si>
  <si>
    <t>area</t>
    <phoneticPr fontId="1" type="noConversion"/>
  </si>
  <si>
    <t>K5-2</t>
  </si>
  <si>
    <t>K5-3</t>
  </si>
  <si>
    <t>K5-4</t>
  </si>
  <si>
    <t>K5-5</t>
  </si>
  <si>
    <t>K5-6</t>
  </si>
  <si>
    <t>HK416 mod-2</t>
  </si>
  <si>
    <t>StG44 mod-2</t>
  </si>
  <si>
    <t>StG44 mod-3</t>
  </si>
  <si>
    <t>MG36-2</t>
  </si>
  <si>
    <t>MG36-3</t>
  </si>
  <si>
    <t>i</t>
    <phoneticPr fontId="1" type="noConversion"/>
  </si>
  <si>
    <t>P22-2</t>
  </si>
  <si>
    <t>P22-3</t>
  </si>
  <si>
    <t>G36 mod-2</t>
  </si>
  <si>
    <t>CAWS-2</t>
  </si>
  <si>
    <t>CAWS-3</t>
  </si>
  <si>
    <t>CAWS</t>
  </si>
  <si>
    <t>LWMMG mod</t>
    <phoneticPr fontId="1" type="noConversion"/>
  </si>
  <si>
    <t>MP-446 mod-2</t>
  </si>
  <si>
    <t>MP-446 mod-3</t>
  </si>
  <si>
    <t>MP-446 mod-4</t>
  </si>
  <si>
    <t>MP-446 mod-5</t>
  </si>
  <si>
    <t>G36 mod</t>
  </si>
  <si>
    <t>HK416 mod</t>
  </si>
  <si>
    <t>K5</t>
  </si>
  <si>
    <t>MG36</t>
  </si>
  <si>
    <t>MP-446 mod</t>
  </si>
  <si>
    <t>P22</t>
  </si>
  <si>
    <t>StG44 mod</t>
  </si>
  <si>
    <t>x offset-1</t>
    <phoneticPr fontId="1" type="noConversion"/>
  </si>
  <si>
    <t>y offset-1</t>
    <phoneticPr fontId="1" type="noConversion"/>
  </si>
  <si>
    <t>area</t>
    <phoneticPr fontId="1" type="noConversion"/>
  </si>
  <si>
    <t>r7</t>
    <phoneticPr fontId="1" type="noConversion"/>
  </si>
  <si>
    <t>r9</t>
  </si>
  <si>
    <t>r10</t>
  </si>
  <si>
    <t>r11</t>
  </si>
  <si>
    <t>r12</t>
  </si>
  <si>
    <t>r8</t>
    <phoneticPr fontId="1" type="noConversion"/>
  </si>
  <si>
    <t>r13</t>
    <phoneticPr fontId="1" type="noConversion"/>
  </si>
  <si>
    <t>r14</t>
    <phoneticPr fontId="1" type="noConversion"/>
  </si>
  <si>
    <t>r15</t>
  </si>
  <si>
    <t>r16</t>
  </si>
  <si>
    <t>r17</t>
  </si>
  <si>
    <t>r18</t>
  </si>
  <si>
    <t>DP-12</t>
    <phoneticPr fontId="1" type="noConversion"/>
  </si>
  <si>
    <t>DP-12-2</t>
    <phoneticPr fontId="1" type="noConversion"/>
  </si>
  <si>
    <t>PA-15</t>
    <phoneticPr fontId="1" type="noConversion"/>
  </si>
  <si>
    <t>Carcano M1891</t>
  </si>
  <si>
    <t>Px4 Storm</t>
  </si>
  <si>
    <t>Px4 Storm</t>
    <phoneticPr fontId="1" type="noConversion"/>
  </si>
  <si>
    <t>Px4 Storm-2</t>
    <phoneticPr fontId="1" type="noConversion"/>
  </si>
  <si>
    <t>Px4 Storm-3</t>
    <phoneticPr fontId="1" type="noConversion"/>
  </si>
  <si>
    <t>Px4 Storm-4</t>
    <phoneticPr fontId="1" type="noConversion"/>
  </si>
  <si>
    <t>스킬설정</t>
  </si>
  <si>
    <t>아군스킬</t>
  </si>
  <si>
    <t>적군스킬</t>
  </si>
  <si>
    <t>좌표값 설정</t>
  </si>
  <si>
    <t>d</t>
    <phoneticPr fontId="1" type="noConversion"/>
  </si>
  <si>
    <t>Enemy</t>
  </si>
  <si>
    <t>Range</t>
  </si>
  <si>
    <t>Speed</t>
  </si>
  <si>
    <t>Boss</t>
  </si>
  <si>
    <t>KCCO</t>
  </si>
  <si>
    <t>Paradeus</t>
  </si>
  <si>
    <t>X-Axis</t>
  </si>
  <si>
    <t>Column</t>
  </si>
  <si>
    <t>Row</t>
  </si>
  <si>
    <t>Numpad</t>
  </si>
  <si>
    <t>Fixed Coords</t>
  </si>
  <si>
    <t>Dummy Target</t>
  </si>
  <si>
    <t>Friendly Target</t>
  </si>
  <si>
    <t>Unit 1</t>
  </si>
  <si>
    <t>Unit 2</t>
  </si>
  <si>
    <t>Unit 3</t>
  </si>
  <si>
    <t>Unit 4</t>
  </si>
  <si>
    <t>Unit 5</t>
  </si>
  <si>
    <t>Unit 6</t>
  </si>
  <si>
    <t>Unit 7</t>
  </si>
  <si>
    <t>Unit 8</t>
  </si>
  <si>
    <t>Boss Unit Only</t>
  </si>
  <si>
    <t>X</t>
  </si>
  <si>
    <t>Y</t>
  </si>
  <si>
    <t>Link</t>
  </si>
  <si>
    <t>Paste Enemy Stat Sheet Below This</t>
  </si>
  <si>
    <t>Ally Positions</t>
  </si>
  <si>
    <t>Scarecrow</t>
  </si>
  <si>
    <t>Executioner</t>
  </si>
  <si>
    <t>Hunter</t>
  </si>
  <si>
    <t>Intruder</t>
  </si>
  <si>
    <t>Destroyer</t>
  </si>
  <si>
    <t>Alchemist</t>
  </si>
  <si>
    <t>Dreamer</t>
  </si>
  <si>
    <t>Judge</t>
  </si>
  <si>
    <t>Ouroboros</t>
  </si>
  <si>
    <t>Gager</t>
  </si>
  <si>
    <t>Architect</t>
  </si>
  <si>
    <t>Gaia</t>
  </si>
  <si>
    <t>Garm</t>
  </si>
  <si>
    <t>Black Nyto</t>
  </si>
  <si>
    <t>Double Nyto</t>
  </si>
  <si>
    <t>Mercurows</t>
  </si>
  <si>
    <t>Nimogen</t>
  </si>
  <si>
    <t>Failed Isomer</t>
  </si>
  <si>
    <t>Beak</t>
  </si>
  <si>
    <t>Prowler</t>
  </si>
  <si>
    <t>Scout</t>
  </si>
  <si>
    <t>Jaguar</t>
  </si>
  <si>
    <t>Vespid</t>
  </si>
  <si>
    <t>Guard</t>
  </si>
  <si>
    <t>Striker</t>
  </si>
  <si>
    <t>Manticore</t>
  </si>
  <si>
    <t>Pyxis</t>
  </si>
  <si>
    <t>Cyclops</t>
  </si>
  <si>
    <t>Hydra</t>
  </si>
  <si>
    <t>Typhon</t>
  </si>
  <si>
    <t>Dactyl</t>
  </si>
  <si>
    <t>Centaurus</t>
  </si>
  <si>
    <t>Pathfinder</t>
  </si>
  <si>
    <t>Rodelero</t>
  </si>
  <si>
    <t>Doppelsoldner</t>
  </si>
  <si>
    <t>Uhlan</t>
  </si>
  <si>
    <t>ELID_Unarmed</t>
  </si>
  <si>
    <t>ELID_Armed</t>
  </si>
  <si>
    <t>Smasher</t>
  </si>
  <si>
    <t>Abandoned Gladiator</t>
  </si>
  <si>
    <t>Abandoned Patroller</t>
  </si>
  <si>
    <t>Abandoned Isomer</t>
  </si>
  <si>
    <t>???</t>
  </si>
  <si>
    <t>Howa Type 64</t>
  </si>
  <si>
    <t>Howa Type 64-2</t>
  </si>
  <si>
    <t>QBU-88(active)</t>
  </si>
  <si>
    <t>QBU-88(passive)</t>
  </si>
  <si>
    <t>Ribeyrolles</t>
  </si>
  <si>
    <t>Ribeyrolles-2</t>
  </si>
  <si>
    <t>Flashbang</t>
  </si>
  <si>
    <t>Grenade</t>
  </si>
  <si>
    <t>Incendiary Bomb</t>
  </si>
  <si>
    <t>Killing Grenade</t>
  </si>
  <si>
    <t>Smoke Grenade (Fire)</t>
  </si>
  <si>
    <t>Smoke Grenade (Transfer)</t>
  </si>
  <si>
    <t>Jericho</t>
  </si>
  <si>
    <t>Jericho-2</t>
  </si>
  <si>
    <t>Jericho-3</t>
  </si>
  <si>
    <t>Jericho-4</t>
  </si>
  <si>
    <t>Colt Python</t>
  </si>
  <si>
    <t>Colt Python-2</t>
  </si>
  <si>
    <t>Colt Python-3</t>
  </si>
  <si>
    <t>Colt Python-4</t>
  </si>
  <si>
    <t>Colt Python-5</t>
  </si>
  <si>
    <t>Colt Python-6</t>
  </si>
  <si>
    <t>Burst Grenade</t>
  </si>
  <si>
    <t>Hanyang mod(missile)</t>
  </si>
  <si>
    <t>Hanyang mod(grenade)</t>
  </si>
  <si>
    <t>Hanyang mod(grenade)-2</t>
  </si>
  <si>
    <t>Hanyang mod(grenade)-3</t>
  </si>
  <si>
    <t>Hanyang mod(grenade)-4</t>
  </si>
  <si>
    <t>Hanyang mod(grenade)-5</t>
  </si>
  <si>
    <t>Hanyang mod(grenade)-6</t>
  </si>
  <si>
    <t>Hanyang mod(grenade)-7</t>
  </si>
  <si>
    <t>Hanyang mod(melee)</t>
  </si>
  <si>
    <t>Doppelsoldner(barrage)</t>
  </si>
  <si>
    <t>Doppelsoldner(normal attack)</t>
  </si>
  <si>
    <t>Minotaur(barrage)</t>
  </si>
  <si>
    <t>Minotaur(normal attack)</t>
  </si>
  <si>
    <t>Architect1</t>
  </si>
  <si>
    <t>Architect2</t>
  </si>
  <si>
    <t>Executioner EX</t>
  </si>
  <si>
    <t>Uhlan (ram)</t>
  </si>
  <si>
    <t>Uhlan (missile)</t>
  </si>
  <si>
    <t>White Nyto</t>
  </si>
  <si>
    <t>Taunt</t>
  </si>
  <si>
    <t>Chloe</t>
  </si>
  <si>
    <t>Twin</t>
  </si>
  <si>
    <t>Twin (Evasion)</t>
  </si>
  <si>
    <t>Twin (Armor)</t>
  </si>
  <si>
    <t>2 Links</t>
  </si>
  <si>
    <t>3 Links</t>
  </si>
  <si>
    <t>4 Links</t>
  </si>
  <si>
    <t>5 Links</t>
  </si>
  <si>
    <t>1 Link</t>
  </si>
  <si>
    <t>Pos1</t>
  </si>
  <si>
    <t>Pos2</t>
  </si>
  <si>
    <t>Pos3</t>
  </si>
  <si>
    <t>Pos4</t>
  </si>
  <si>
    <t>Pos5</t>
  </si>
  <si>
    <t>Pos6</t>
  </si>
  <si>
    <t>Pos7</t>
  </si>
  <si>
    <t>Pos8</t>
  </si>
  <si>
    <t>Pos9</t>
  </si>
  <si>
    <t>Chloe 1</t>
  </si>
  <si>
    <t>Chloe 2</t>
  </si>
  <si>
    <t>Twin 1</t>
  </si>
  <si>
    <t>Twin 2</t>
  </si>
  <si>
    <t>Speed Correction</t>
  </si>
  <si>
    <t>Nova</t>
  </si>
  <si>
    <t>Skill Range Diagram</t>
  </si>
  <si>
    <t>Center Coordinate Value</t>
  </si>
  <si>
    <t>N/A</t>
  </si>
  <si>
    <t>Smoke Grenade (fire)</t>
  </si>
  <si>
    <t>Smoke Grenade (transfer)</t>
  </si>
  <si>
    <t>Type88 mod (missile)</t>
  </si>
  <si>
    <t>Type88 mod (grenade)</t>
  </si>
  <si>
    <t>Type88 mod (melee)</t>
  </si>
  <si>
    <t>Doppelsoldner (barrage)</t>
  </si>
  <si>
    <t>Doppelsoldner (normal attack)</t>
  </si>
  <si>
    <t>Minotaur (barrage)</t>
  </si>
  <si>
    <t>Minotaur (normal attack)</t>
  </si>
  <si>
    <t>Architect 1</t>
  </si>
  <si>
    <t>Architect 2</t>
  </si>
  <si>
    <t>Copy comp info from GFLMaps (https://pengupengupengu.github.io/gflmaps)</t>
  </si>
  <si>
    <t>Press the Import Enemy Comp button at the top</t>
  </si>
  <si>
    <t>SF</t>
  </si>
  <si>
    <t>Aegis1</t>
  </si>
  <si>
    <t>Aegis2</t>
  </si>
  <si>
    <t>Aegis_Halloween</t>
  </si>
  <si>
    <t>Aegis_SWAP</t>
  </si>
  <si>
    <t>Brute1</t>
  </si>
  <si>
    <t>Brute2</t>
  </si>
  <si>
    <t>Brute_Ghost</t>
  </si>
  <si>
    <t>Brute_SWAP</t>
  </si>
  <si>
    <t>Dinergate1</t>
  </si>
  <si>
    <t>Dinergate2</t>
  </si>
  <si>
    <t>Dinergate_chm1</t>
  </si>
  <si>
    <t>Dinergate_chm2</t>
  </si>
  <si>
    <t>Dinergate_WhiteDay</t>
  </si>
  <si>
    <t>Dinergate_WhiteDay1</t>
  </si>
  <si>
    <t>Dinergate_WhiteDay1B</t>
  </si>
  <si>
    <t>Dinergate_WhiteDay2</t>
  </si>
  <si>
    <t>Dinergate_WhiteDay2B</t>
  </si>
  <si>
    <t>Dinergate_WhiteDay3</t>
  </si>
  <si>
    <t>Dinergate_WhiteDay3B</t>
  </si>
  <si>
    <t>Dragon_Halloween1</t>
  </si>
  <si>
    <t>Dragon_Halloween2</t>
  </si>
  <si>
    <t>Dragoon1</t>
  </si>
  <si>
    <t>Dragoon2</t>
  </si>
  <si>
    <t>Dragoon_SWAP1</t>
  </si>
  <si>
    <t>Dragoon_SWAP2</t>
  </si>
  <si>
    <t>Golyat</t>
  </si>
  <si>
    <t>GolyatPlus</t>
  </si>
  <si>
    <t>Guard_chm</t>
  </si>
  <si>
    <t>Guard_SWAP</t>
  </si>
  <si>
    <t>Jaeger1</t>
  </si>
  <si>
    <t>Jaeger2</t>
  </si>
  <si>
    <t>Jaeger_Halloween1</t>
  </si>
  <si>
    <t>Jaeger_Halloween2</t>
  </si>
  <si>
    <t>Jaeger_SWAP</t>
  </si>
  <si>
    <t>Nemeum1</t>
  </si>
  <si>
    <t>Nemeum2</t>
  </si>
  <si>
    <t>Nemeum3</t>
  </si>
  <si>
    <t>Nemeum4</t>
  </si>
  <si>
    <t>Nemeum_Halloween</t>
  </si>
  <si>
    <t>Nemeum_SWAP2</t>
  </si>
  <si>
    <t>Prowler_SWAP</t>
  </si>
  <si>
    <t>Ripper1</t>
  </si>
  <si>
    <t>Ripper2</t>
  </si>
  <si>
    <t>Ripper_Halloween1</t>
  </si>
  <si>
    <t>Ripper_Halloween2</t>
  </si>
  <si>
    <t>Ripper_SWAP</t>
  </si>
  <si>
    <t>Scouts</t>
  </si>
  <si>
    <t>Striker_SWAP</t>
  </si>
  <si>
    <t>Tarantula1</t>
  </si>
  <si>
    <t>Tarantula2</t>
  </si>
  <si>
    <t>Vespid1</t>
  </si>
  <si>
    <t>Vespid2</t>
  </si>
  <si>
    <t>Vespid_bride</t>
  </si>
  <si>
    <t>Vespid_SWAP</t>
  </si>
  <si>
    <t>AA02_Mini</t>
  </si>
  <si>
    <t>Acheron</t>
  </si>
  <si>
    <t>Aegis_GA1</t>
  </si>
  <si>
    <t>Aegis_GA2</t>
  </si>
  <si>
    <t>Aegis_GA_SWAP</t>
  </si>
  <si>
    <t>Archer</t>
  </si>
  <si>
    <t>Beast</t>
  </si>
  <si>
    <t>Cerynitis1</t>
  </si>
  <si>
    <t>Cerynitis2</t>
  </si>
  <si>
    <t>Cerynitis_SWAP</t>
  </si>
  <si>
    <t>Chariot_Military</t>
  </si>
  <si>
    <t>Chief_Cyclops</t>
  </si>
  <si>
    <t>Coeus</t>
  </si>
  <si>
    <t>Cyclops1</t>
  </si>
  <si>
    <t>Cyclops2</t>
  </si>
  <si>
    <t>Cyclops3</t>
  </si>
  <si>
    <t>Cyclops4</t>
  </si>
  <si>
    <t>Cyclops_MG</t>
  </si>
  <si>
    <t>Cyclops_SG1</t>
  </si>
  <si>
    <t>Cyclops_SG2</t>
  </si>
  <si>
    <t>CyclopsSwim</t>
  </si>
  <si>
    <t>Hydra_beach</t>
  </si>
  <si>
    <t>landmine_beach</t>
  </si>
  <si>
    <t>Mop_Aegis</t>
  </si>
  <si>
    <t>Pathfinder_beach</t>
  </si>
  <si>
    <t>PathfinderSwim</t>
  </si>
  <si>
    <t>Pumpkin_Dactyl</t>
  </si>
  <si>
    <t>RecceCentre</t>
  </si>
  <si>
    <t>RecceCentre_beach</t>
  </si>
  <si>
    <t>RecceCentreSwim</t>
  </si>
  <si>
    <t>TeslaTrooper</t>
  </si>
  <si>
    <t>Bathhouse_guest_1</t>
  </si>
  <si>
    <t>Bathhouse_guest_2</t>
  </si>
  <si>
    <t>Bubble</t>
  </si>
  <si>
    <t>Bubble_machine</t>
  </si>
  <si>
    <t>Cocktail</t>
  </si>
  <si>
    <t>Cottoncaper</t>
  </si>
  <si>
    <t>DivEngineer</t>
  </si>
  <si>
    <t>DivExecutor</t>
  </si>
  <si>
    <t>DivGrenadier</t>
  </si>
  <si>
    <t>DivGuard</t>
  </si>
  <si>
    <t>DivMauler</t>
  </si>
  <si>
    <t>DivRifleman</t>
  </si>
  <si>
    <t>DivRunner</t>
  </si>
  <si>
    <t>DivScout</t>
  </si>
  <si>
    <t>DivSweeper</t>
  </si>
  <si>
    <t>DivTraitor</t>
  </si>
  <si>
    <t>Drone</t>
  </si>
  <si>
    <t>Dropkick_BeansEmissary</t>
  </si>
  <si>
    <t>Dropkick_Beth</t>
  </si>
  <si>
    <t>Dropkick_CyclopsChan</t>
  </si>
  <si>
    <t>Dropkick_IceGhost</t>
  </si>
  <si>
    <t>Dropkick_MeleeDevil</t>
  </si>
  <si>
    <t>Dropkick_RemoteDevil</t>
  </si>
  <si>
    <t>guard_bald</t>
  </si>
  <si>
    <t>guard_katsura</t>
  </si>
  <si>
    <t>Hiresniper</t>
  </si>
  <si>
    <t>Mobster</t>
  </si>
  <si>
    <t>Plaincloth</t>
  </si>
  <si>
    <t>refugee_hg</t>
  </si>
  <si>
    <t>refugee_smg</t>
  </si>
  <si>
    <t>RussianGangster_HG</t>
  </si>
  <si>
    <t>saga_dog_enemy</t>
  </si>
  <si>
    <t>Swordsman</t>
  </si>
  <si>
    <t>Truck_enemy</t>
  </si>
  <si>
    <t>Tyre_enemy</t>
  </si>
  <si>
    <t>USSR_Agent</t>
  </si>
  <si>
    <t>Other</t>
  </si>
  <si>
    <t>Artillery</t>
  </si>
  <si>
    <t>Cerberus_White</t>
  </si>
  <si>
    <t>Cherub</t>
  </si>
  <si>
    <t>Engineer</t>
  </si>
  <si>
    <t>Fortress</t>
  </si>
  <si>
    <t>Grenadier</t>
  </si>
  <si>
    <t>Isomer</t>
  </si>
  <si>
    <t>Kratos</t>
  </si>
  <si>
    <t>Mastersergeant</t>
  </si>
  <si>
    <t>Mecha_N</t>
  </si>
  <si>
    <t>MechanicalSpiderM</t>
  </si>
  <si>
    <t>MechanicalSpiderS</t>
  </si>
  <si>
    <t>Metalmax</t>
  </si>
  <si>
    <t>Nyto_Black_Hammer</t>
  </si>
  <si>
    <t>Nyto_Black_RF</t>
  </si>
  <si>
    <t>Nyto_Black_SMG</t>
  </si>
  <si>
    <t>Nyto_White_Commander</t>
  </si>
  <si>
    <t>Obelisk_partA</t>
  </si>
  <si>
    <t>Obelisk_partB</t>
  </si>
  <si>
    <t>Punish</t>
  </si>
  <si>
    <t>Riotguard</t>
  </si>
  <si>
    <t>Roarer</t>
  </si>
  <si>
    <t>Roarer_New</t>
  </si>
  <si>
    <t>Roarer_swimsuit</t>
  </si>
  <si>
    <t>Rodelero_swimsuit</t>
  </si>
  <si>
    <t>Soldier_New</t>
  </si>
  <si>
    <t>Strelet1</t>
  </si>
  <si>
    <t>Strelet2</t>
  </si>
  <si>
    <t>StreletPlus</t>
  </si>
  <si>
    <t>StreletPlus_swimsuit</t>
  </si>
  <si>
    <t>Thunder</t>
  </si>
  <si>
    <t>Thunder_New</t>
  </si>
  <si>
    <t>Visjnoe</t>
  </si>
  <si>
    <t>Set Enemy Unit Faction</t>
  </si>
  <si>
    <t>RF(7)</t>
  </si>
  <si>
    <t>Paste into sheet like this, excluding tenacity/debuff resist and with coordinates formatted as "X, Y" instead of "(X,Y)". Also edit names to use the codenames on the "hare"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</si>
</sst>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#"/>
    <numFmt numFmtId="165" formatCode="0_);[Red]\(0\)"/>
  </numFmts>
  <fonts count="23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sz val="11"/>
      <color theme="0"/>
      <name val="Calibri"/>
      <family val="3"/>
      <charset val="129"/>
      <scheme val="minor"/>
    </font>
    <font>
      <sz val="11"/>
      <color theme="0"/>
      <name val="Calibri"/>
      <family val="2"/>
      <charset val="129"/>
      <scheme val="minor"/>
    </font>
    <font>
      <sz val="11"/>
      <name val="Calibri"/>
      <family val="3"/>
      <charset val="129"/>
      <scheme val="minor"/>
    </font>
    <font>
      <sz val="11"/>
      <color rgb="FFFF0000"/>
      <name val="Calibri"/>
      <family val="3"/>
      <charset val="129"/>
      <scheme val="minor"/>
    </font>
    <font>
      <sz val="11"/>
      <name val="Calibri"/>
      <family val="2"/>
      <charset val="129"/>
      <scheme val="minor"/>
    </font>
    <font>
      <sz val="11"/>
      <color theme="1"/>
      <name val="Calibri"/>
      <family val="3"/>
      <charset val="129"/>
      <scheme val="minor"/>
    </font>
    <font>
      <sz val="11"/>
      <color theme="0"/>
      <name val="Segoe UI"/>
      <family val="2"/>
    </font>
    <font>
      <sz val="11"/>
      <name val="Segoe UI"/>
      <family val="2"/>
    </font>
    <font>
      <b/>
      <sz val="16"/>
      <name val="Segoe UI"/>
      <family val="3"/>
      <charset val="129"/>
    </font>
    <font>
      <b/>
      <sz val="16"/>
      <name val="Segoe UI"/>
      <family val="2"/>
    </font>
    <font>
      <sz val="11"/>
      <name val="Segoe UI"/>
      <family val="2"/>
    </font>
    <font>
      <sz val="9"/>
      <color rgb="FF000000"/>
      <name val="Malgun Gothic"/>
    </font>
    <font>
      <sz val="11"/>
      <color rgb="FF000000"/>
      <name val="맑은 고딕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3"/>
      <charset val="129"/>
      <scheme val="minor"/>
    </font>
    <font>
      <sz val="11"/>
      <color rgb="FFFF0000"/>
      <name val="Segoe UI"/>
      <family val="2"/>
    </font>
    <font>
      <sz val="11"/>
      <color rgb="FFFF0000"/>
      <name val="돋움"/>
      <family val="3"/>
      <charset val="129"/>
    </font>
    <font>
      <sz val="11"/>
      <name val="Calibri"/>
      <family val="2"/>
      <scheme val="minor"/>
    </font>
    <font>
      <b/>
      <sz val="10"/>
      <name val="Calibri"/>
      <family val="3"/>
      <charset val="129"/>
      <scheme val="minor"/>
    </font>
    <font>
      <sz val="10"/>
      <name val="Calibri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E8E8E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 applyFill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Border="1">
      <alignment vertical="center"/>
    </xf>
    <xf numFmtId="0" fontId="4" fillId="0" borderId="0" xfId="0" applyFont="1" applyBorder="1" applyAlignment="1">
      <alignment vertical="center"/>
    </xf>
    <xf numFmtId="0" fontId="5" fillId="0" borderId="6" xfId="0" applyFont="1" applyBorder="1">
      <alignment vertical="center"/>
    </xf>
    <xf numFmtId="0" fontId="5" fillId="0" borderId="7" xfId="0" applyFont="1" applyBorder="1">
      <alignment vertical="center"/>
    </xf>
    <xf numFmtId="0" fontId="5" fillId="0" borderId="8" xfId="0" applyFont="1" applyBorder="1">
      <alignment vertical="center"/>
    </xf>
    <xf numFmtId="0" fontId="5" fillId="0" borderId="0" xfId="0" applyFont="1" applyBorder="1">
      <alignment vertical="center"/>
    </xf>
    <xf numFmtId="0" fontId="5" fillId="0" borderId="12" xfId="0" applyFont="1" applyBorder="1">
      <alignment vertical="center"/>
    </xf>
    <xf numFmtId="0" fontId="2" fillId="0" borderId="0" xfId="0" applyFont="1" applyBorder="1">
      <alignment vertical="center"/>
    </xf>
    <xf numFmtId="0" fontId="7" fillId="0" borderId="15" xfId="0" applyFont="1" applyBorder="1">
      <alignment vertical="center"/>
    </xf>
    <xf numFmtId="0" fontId="7" fillId="0" borderId="6" xfId="0" applyFont="1" applyBorder="1">
      <alignment vertical="center"/>
    </xf>
    <xf numFmtId="0" fontId="9" fillId="0" borderId="18" xfId="0" applyFont="1" applyBorder="1" applyAlignment="1">
      <alignment vertical="center" wrapText="1"/>
    </xf>
    <xf numFmtId="0" fontId="8" fillId="0" borderId="0" xfId="0" applyFont="1">
      <alignment vertical="center"/>
    </xf>
    <xf numFmtId="0" fontId="7" fillId="0" borderId="0" xfId="0" applyFont="1">
      <alignment vertical="center"/>
    </xf>
    <xf numFmtId="0" fontId="5" fillId="0" borderId="0" xfId="0" applyFont="1" applyFill="1" applyBorder="1">
      <alignment vertical="center"/>
    </xf>
    <xf numFmtId="0" fontId="0" fillId="0" borderId="0" xfId="0">
      <alignment vertical="center"/>
    </xf>
    <xf numFmtId="0" fontId="10" fillId="6" borderId="18" xfId="0" applyFont="1" applyFill="1" applyBorder="1" applyAlignment="1">
      <alignment vertical="center" wrapText="1"/>
    </xf>
    <xf numFmtId="0" fontId="3" fillId="0" borderId="0" xfId="0" applyFont="1" applyFill="1" applyBorder="1">
      <alignment vertical="center"/>
    </xf>
    <xf numFmtId="0" fontId="3" fillId="0" borderId="0" xfId="0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3" fillId="0" borderId="19" xfId="0" applyFont="1" applyBorder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Fill="1">
      <alignment vertical="center"/>
    </xf>
    <xf numFmtId="0" fontId="13" fillId="0" borderId="18" xfId="0" applyFont="1" applyBorder="1" applyAlignment="1">
      <alignment horizontal="left" vertical="center" wrapText="1"/>
    </xf>
    <xf numFmtId="0" fontId="10" fillId="0" borderId="18" xfId="0" applyFont="1" applyBorder="1" applyAlignment="1">
      <alignment vertical="center" wrapText="1"/>
    </xf>
    <xf numFmtId="9" fontId="10" fillId="0" borderId="18" xfId="0" applyNumberFormat="1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9" fontId="10" fillId="0" borderId="0" xfId="0" applyNumberFormat="1" applyFont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10" xfId="0" applyFont="1" applyBorder="1">
      <alignment vertical="center"/>
    </xf>
    <xf numFmtId="0" fontId="5" fillId="2" borderId="6" xfId="0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0" fontId="5" fillId="2" borderId="9" xfId="0" applyFont="1" applyFill="1" applyBorder="1" applyAlignment="1">
      <alignment vertical="center"/>
    </xf>
    <xf numFmtId="0" fontId="5" fillId="2" borderId="10" xfId="0" applyFont="1" applyFill="1" applyBorder="1" applyAlignment="1">
      <alignment vertical="center"/>
    </xf>
    <xf numFmtId="0" fontId="5" fillId="2" borderId="11" xfId="0" applyFont="1" applyFill="1" applyBorder="1" applyAlignment="1">
      <alignment vertical="center"/>
    </xf>
    <xf numFmtId="0" fontId="5" fillId="0" borderId="9" xfId="0" applyNumberFormat="1" applyFont="1" applyBorder="1" applyAlignment="1">
      <alignment vertical="center"/>
    </xf>
    <xf numFmtId="0" fontId="5" fillId="0" borderId="11" xfId="0" applyNumberFormat="1" applyFont="1" applyBorder="1" applyAlignment="1">
      <alignment vertical="center"/>
    </xf>
    <xf numFmtId="0" fontId="5" fillId="0" borderId="8" xfId="0" applyNumberFormat="1" applyFont="1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0" borderId="3" xfId="0" applyNumberFormat="1" applyFont="1" applyBorder="1" applyAlignment="1">
      <alignment horizontal="center" vertical="center"/>
    </xf>
    <xf numFmtId="0" fontId="5" fillId="0" borderId="13" xfId="0" applyNumberFormat="1" applyFont="1" applyBorder="1" applyAlignment="1">
      <alignment horizontal="center" vertical="center"/>
    </xf>
    <xf numFmtId="0" fontId="5" fillId="0" borderId="4" xfId="0" applyNumberFormat="1" applyFont="1" applyBorder="1" applyAlignment="1">
      <alignment horizontal="center" vertical="center"/>
    </xf>
    <xf numFmtId="164" fontId="5" fillId="0" borderId="3" xfId="0" applyNumberFormat="1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3" fillId="0" borderId="18" xfId="0" applyFont="1" applyBorder="1" applyAlignment="1">
      <alignment horizontal="left" vertical="center"/>
    </xf>
    <xf numFmtId="0" fontId="10" fillId="0" borderId="18" xfId="0" applyFont="1" applyBorder="1" applyAlignment="1">
      <alignment vertical="center"/>
    </xf>
    <xf numFmtId="9" fontId="10" fillId="0" borderId="18" xfId="0" applyNumberFormat="1" applyFont="1" applyBorder="1" applyAlignment="1">
      <alignment vertical="center"/>
    </xf>
    <xf numFmtId="0" fontId="18" fillId="0" borderId="18" xfId="0" applyFont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18" fillId="6" borderId="18" xfId="0" applyFont="1" applyFill="1" applyBorder="1" applyAlignment="1">
      <alignment vertical="center" wrapText="1"/>
    </xf>
    <xf numFmtId="0" fontId="19" fillId="6" borderId="18" xfId="0" applyFont="1" applyFill="1" applyBorder="1" applyAlignment="1">
      <alignment vertical="center" wrapText="1"/>
    </xf>
    <xf numFmtId="0" fontId="18" fillId="6" borderId="0" xfId="0" applyFont="1" applyFill="1" applyAlignment="1">
      <alignment vertical="center" wrapText="1"/>
    </xf>
    <xf numFmtId="0" fontId="5" fillId="0" borderId="0" xfId="0" applyNumberFormat="1" applyFont="1" applyAlignment="1">
      <alignment horizontal="right" vertical="center" indent="3"/>
    </xf>
    <xf numFmtId="0" fontId="5" fillId="0" borderId="0" xfId="0" applyFont="1" applyBorder="1" applyAlignment="1">
      <alignment horizontal="right" vertical="center" indent="3"/>
    </xf>
    <xf numFmtId="0" fontId="5" fillId="0" borderId="20" xfId="0" applyFont="1" applyBorder="1" applyAlignment="1">
      <alignment vertical="center"/>
    </xf>
    <xf numFmtId="0" fontId="5" fillId="0" borderId="21" xfId="0" applyFont="1" applyBorder="1" applyAlignment="1">
      <alignment vertical="center"/>
    </xf>
    <xf numFmtId="0" fontId="16" fillId="0" borderId="0" xfId="0" applyFont="1">
      <alignment vertical="center"/>
    </xf>
    <xf numFmtId="0" fontId="16" fillId="0" borderId="0" xfId="0" applyFont="1" applyFill="1">
      <alignment vertical="center"/>
    </xf>
    <xf numFmtId="0" fontId="16" fillId="0" borderId="0" xfId="0" applyFont="1" applyFill="1" applyBorder="1">
      <alignment vertical="center"/>
    </xf>
    <xf numFmtId="0" fontId="20" fillId="0" borderId="0" xfId="0" applyFont="1">
      <alignment vertical="center"/>
    </xf>
    <xf numFmtId="0" fontId="7" fillId="0" borderId="0" xfId="0" applyFont="1" applyBorder="1">
      <alignment vertical="center"/>
    </xf>
    <xf numFmtId="0" fontId="20" fillId="0" borderId="15" xfId="0" applyFont="1" applyBorder="1">
      <alignment vertical="center"/>
    </xf>
    <xf numFmtId="0" fontId="20" fillId="0" borderId="0" xfId="0" applyFont="1" applyBorder="1">
      <alignment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2" xfId="0" applyFont="1" applyBorder="1" applyAlignment="1">
      <alignment horizontal="left" vertical="center"/>
    </xf>
    <xf numFmtId="0" fontId="5" fillId="0" borderId="25" xfId="0" applyFont="1" applyBorder="1" applyAlignment="1">
      <alignment horizontal="left" vertical="center"/>
    </xf>
    <xf numFmtId="0" fontId="5" fillId="0" borderId="23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11" fillId="7" borderId="0" xfId="0" applyFont="1" applyFill="1" applyBorder="1" applyAlignment="1">
      <alignment horizontal="center" vertical="center" wrapText="1"/>
    </xf>
    <xf numFmtId="0" fontId="12" fillId="7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Fill="1" applyBorder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119003741553582E-2"/>
          <c:y val="3.0382082239720037E-2"/>
          <c:w val="0.96661121758607149"/>
          <c:h val="0.89814814814814814"/>
        </c:manualLayout>
      </c:layout>
      <c:scatterChart>
        <c:scatterStyle val="smoothMarker"/>
        <c:varyColors val="0"/>
        <c:ser>
          <c:idx val="2"/>
          <c:order val="2"/>
          <c:tx>
            <c:v>Ech Range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F7F1-4F27-92EF-062DDF529C51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7F1-4F27-92EF-062DDF529C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/>
                      <a:t>Echelon Range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7F1-4F27-92EF-062DDF529C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3"/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(Main!$A$19,Main!$A$19)</c:f>
              <c:numCache>
                <c:formatCode>General</c:formatCode>
                <c:ptCount val="2"/>
                <c:pt idx="0">
                  <c:v>10.79</c:v>
                </c:pt>
                <c:pt idx="1">
                  <c:v>10.79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-2</c:v>
              </c:pt>
              <c:pt idx="1">
                <c:v>11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F7F1-4F27-92EF-062DDF529C51}"/>
            </c:ext>
          </c:extLst>
        </c:ser>
        <c:ser>
          <c:idx val="12"/>
          <c:order val="3"/>
          <c:tx>
            <c:strRef>
              <c:f>Main!$AT$14</c:f>
              <c:strCache>
                <c:ptCount val="1"/>
                <c:pt idx="0">
                  <c:v>Taunt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9525" cap="rnd">
                  <a:solidFill>
                    <a:schemeClr val="accent1">
                      <a:lumMod val="80000"/>
                      <a:lumOff val="20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25400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F7F1-4F27-92EF-062DDF529C5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ko-KR"/>
                      <a:t>Taunt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F7F1-4F27-92EF-062DDF529C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Main!$AR$14</c:f>
              <c:numCache>
                <c:formatCode>General</c:formatCode>
                <c:ptCount val="1"/>
                <c:pt idx="0">
                  <c:v>-5</c:v>
                </c:pt>
              </c:numCache>
            </c:numRef>
          </c:xVal>
          <c:yVal>
            <c:numRef>
              <c:f>Main!$AS$14</c:f>
              <c:numCache>
                <c:formatCode>General</c:formatCode>
                <c:ptCount val="1"/>
                <c:pt idx="0">
                  <c:v>3.91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F7F1-4F27-92EF-062DDF529C51}"/>
            </c:ext>
          </c:extLst>
        </c:ser>
        <c:ser>
          <c:idx val="13"/>
          <c:order val="13"/>
          <c:spPr>
            <a:ln w="317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Main!$C$114:$C$138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Main!$D$114:$D$138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F7F1-4F27-92EF-062DDF529C51}"/>
            </c:ext>
          </c:extLst>
        </c:ser>
        <c:ser>
          <c:idx val="14"/>
          <c:order val="1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Main!$C$140:$C$164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Main!$D$140:$D$164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F7F1-4F27-92EF-062DDF529C51}"/>
            </c:ext>
          </c:extLst>
        </c:ser>
        <c:ser>
          <c:idx val="15"/>
          <c:order val="1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Main!$C$192:$C$216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Main!$D$192:$D$216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F7F1-4F27-92EF-062DDF529C51}"/>
            </c:ext>
          </c:extLst>
        </c:ser>
        <c:ser>
          <c:idx val="16"/>
          <c:order val="1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Main!$C$218:$C$242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Main!$D$218:$D$242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F7F1-4F27-92EF-062DDF529C51}"/>
            </c:ext>
          </c:extLst>
        </c:ser>
        <c:ser>
          <c:idx val="17"/>
          <c:order val="1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Main!$C$244:$C$268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Main!$D$244:$D$268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F7F1-4F27-92EF-062DDF529C51}"/>
            </c:ext>
          </c:extLst>
        </c:ser>
        <c:ser>
          <c:idx val="18"/>
          <c:order val="1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Main!$C$270:$C$294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Main!$D$270:$D$294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F7F1-4F27-92EF-062DDF529C51}"/>
            </c:ext>
          </c:extLst>
        </c:ser>
        <c:ser>
          <c:idx val="19"/>
          <c:order val="1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Main!$C$296:$C$320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Main!$D$296:$D$320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F7F1-4F27-92EF-062DDF529C51}"/>
            </c:ext>
          </c:extLst>
        </c:ser>
        <c:ser>
          <c:idx val="20"/>
          <c:order val="2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Main!$C$166:$C$190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Main!$D$166:$D$190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F7F1-4F27-92EF-062DDF529C51}"/>
            </c:ext>
          </c:extLst>
        </c:ser>
        <c:ser>
          <c:idx val="21"/>
          <c:order val="2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Main!$F$114:$F$138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Main!$G$114:$G$138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F7F1-4F27-92EF-062DDF529C51}"/>
            </c:ext>
          </c:extLst>
        </c:ser>
        <c:ser>
          <c:idx val="22"/>
          <c:order val="2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Main!$F$140:$F$164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Main!$G$140:$G$164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F7F1-4F27-92EF-062DDF529C51}"/>
            </c:ext>
          </c:extLst>
        </c:ser>
        <c:ser>
          <c:idx val="23"/>
          <c:order val="2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Main!$F$166:$F$190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Main!$G$166:$G$190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F7F1-4F27-92EF-062DDF529C51}"/>
            </c:ext>
          </c:extLst>
        </c:ser>
        <c:ser>
          <c:idx val="24"/>
          <c:order val="2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Main!$F$192:$F$216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Main!$G$192:$G$216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F7F1-4F27-92EF-062DDF529C51}"/>
            </c:ext>
          </c:extLst>
        </c:ser>
        <c:ser>
          <c:idx val="25"/>
          <c:order val="2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Main!$F$218:$F$242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Main!$G$218:$G$242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7F1-4F27-92EF-062DDF529C51}"/>
            </c:ext>
          </c:extLst>
        </c:ser>
        <c:ser>
          <c:idx val="26"/>
          <c:order val="2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Main!$F$244:$F$268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Main!$G$244:$G$268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F7F1-4F27-92EF-062DDF529C51}"/>
            </c:ext>
          </c:extLst>
        </c:ser>
        <c:ser>
          <c:idx val="27"/>
          <c:order val="2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Main!$F$270:$F$294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Main!$G$270:$G$294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F7F1-4F27-92EF-062DDF529C51}"/>
            </c:ext>
          </c:extLst>
        </c:ser>
        <c:ser>
          <c:idx val="28"/>
          <c:order val="2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Main!$F$296:$F$320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Main!$G$296:$G$320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F7F1-4F27-92EF-062DDF529C51}"/>
            </c:ext>
          </c:extLst>
        </c:ser>
        <c:ser>
          <c:idx val="29"/>
          <c:order val="2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Main!$I$114:$I$138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Main!$J$114:$J$138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F7F1-4F27-92EF-062DDF529C51}"/>
            </c:ext>
          </c:extLst>
        </c:ser>
        <c:ser>
          <c:idx val="30"/>
          <c:order val="3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Main!$I$140:$I$164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Main!$J$140:$J$164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F7F1-4F27-92EF-062DDF529C51}"/>
            </c:ext>
          </c:extLst>
        </c:ser>
        <c:ser>
          <c:idx val="31"/>
          <c:order val="3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Main!$I$166:$I$190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Main!$J$166:$J$190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F7F1-4F27-92EF-062DDF529C51}"/>
            </c:ext>
          </c:extLst>
        </c:ser>
        <c:ser>
          <c:idx val="32"/>
          <c:order val="3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Main!$I$192:$I$216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Main!$J$192:$J$216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F7F1-4F27-92EF-062DDF529C51}"/>
            </c:ext>
          </c:extLst>
        </c:ser>
        <c:ser>
          <c:idx val="33"/>
          <c:order val="3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Main!$I$218:$I$242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Main!$J$218:$J$242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F7F1-4F27-92EF-062DDF529C51}"/>
            </c:ext>
          </c:extLst>
        </c:ser>
        <c:ser>
          <c:idx val="34"/>
          <c:order val="3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Main!$I$244:$I$268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Main!$J$244:$J$268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F7F1-4F27-92EF-062DDF529C51}"/>
            </c:ext>
          </c:extLst>
        </c:ser>
        <c:ser>
          <c:idx val="35"/>
          <c:order val="3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Main!$I$270:$I$294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Main!$J$270:$J$294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F7F1-4F27-92EF-062DDF529C51}"/>
            </c:ext>
          </c:extLst>
        </c:ser>
        <c:ser>
          <c:idx val="36"/>
          <c:order val="3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Main!$I$296:$I$320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Main!$J$296:$J$320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F7F1-4F27-92EF-062DDF529C51}"/>
            </c:ext>
          </c:extLst>
        </c:ser>
        <c:ser>
          <c:idx val="37"/>
          <c:order val="3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Main!$L$114:$L$138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Main!$M$114:$M$138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F7F1-4F27-92EF-062DDF529C51}"/>
            </c:ext>
          </c:extLst>
        </c:ser>
        <c:ser>
          <c:idx val="38"/>
          <c:order val="3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Main!$L$140:$L$164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Main!$M$140:$M$164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F7F1-4F27-92EF-062DDF529C51}"/>
            </c:ext>
          </c:extLst>
        </c:ser>
        <c:ser>
          <c:idx val="39"/>
          <c:order val="3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Main!$L$166:$L$190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Main!$M$166:$M$190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F7F1-4F27-92EF-062DDF529C51}"/>
            </c:ext>
          </c:extLst>
        </c:ser>
        <c:ser>
          <c:idx val="40"/>
          <c:order val="4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Main!$L$192:$L$216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Main!$M$192:$M$216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F7F1-4F27-92EF-062DDF529C51}"/>
            </c:ext>
          </c:extLst>
        </c:ser>
        <c:ser>
          <c:idx val="41"/>
          <c:order val="4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Main!$L$218:$L$242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Main!$M$218:$M$242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F7F1-4F27-92EF-062DDF529C51}"/>
            </c:ext>
          </c:extLst>
        </c:ser>
        <c:ser>
          <c:idx val="42"/>
          <c:order val="4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Main!$L$244:$L$268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Main!$M$244:$M$268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F7F1-4F27-92EF-062DDF529C51}"/>
            </c:ext>
          </c:extLst>
        </c:ser>
        <c:ser>
          <c:idx val="43"/>
          <c:order val="4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Main!$L$270:$L$294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Main!$M$270:$M$294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F7F1-4F27-92EF-062DDF529C51}"/>
            </c:ext>
          </c:extLst>
        </c:ser>
        <c:ser>
          <c:idx val="44"/>
          <c:order val="4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Main!$L$296:$L$320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Main!$M$296:$M$320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F7F1-4F27-92EF-062DDF529C51}"/>
            </c:ext>
          </c:extLst>
        </c:ser>
        <c:ser>
          <c:idx val="45"/>
          <c:order val="4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Main!$O$114:$O$138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Main!$P$114:$P$138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F7F1-4F27-92EF-062DDF529C51}"/>
            </c:ext>
          </c:extLst>
        </c:ser>
        <c:ser>
          <c:idx val="46"/>
          <c:order val="4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Main!$O$140:$O$164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Main!$P$140:$P$164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F7F1-4F27-92EF-062DDF529C51}"/>
            </c:ext>
          </c:extLst>
        </c:ser>
        <c:ser>
          <c:idx val="47"/>
          <c:order val="4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Main!$O$166:$O$190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Main!$P$166:$P$190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F7F1-4F27-92EF-062DDF529C51}"/>
            </c:ext>
          </c:extLst>
        </c:ser>
        <c:ser>
          <c:idx val="48"/>
          <c:order val="4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Main!$O$192:$O$216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Main!$P$192:$P$216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F7F1-4F27-92EF-062DDF529C51}"/>
            </c:ext>
          </c:extLst>
        </c:ser>
        <c:ser>
          <c:idx val="49"/>
          <c:order val="4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Main!$O$218:$O$242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Main!$P$218:$P$242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F7F1-4F27-92EF-062DDF529C51}"/>
            </c:ext>
          </c:extLst>
        </c:ser>
        <c:ser>
          <c:idx val="50"/>
          <c:order val="5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Main!$O$244:$O$268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Main!$P$244:$P$268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F7F1-4F27-92EF-062DDF529C51}"/>
            </c:ext>
          </c:extLst>
        </c:ser>
        <c:ser>
          <c:idx val="51"/>
          <c:order val="51"/>
          <c:spPr>
            <a:ln w="9525" cap="rnd" cmpd="dbl">
              <a:solidFill>
                <a:schemeClr val="tx1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Main!$O$270:$O$294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Main!$P$270:$P$294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F7F1-4F27-92EF-062DDF529C51}"/>
            </c:ext>
          </c:extLst>
        </c:ser>
        <c:ser>
          <c:idx val="52"/>
          <c:order val="5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Main!$O$296:$O$320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Main!$P$296:$P$320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F7F1-4F27-92EF-062DDF529C51}"/>
            </c:ext>
          </c:extLst>
        </c:ser>
        <c:ser>
          <c:idx val="53"/>
          <c:order val="5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Main!$R$114:$R$138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Main!$S$114:$S$138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F7F1-4F27-92EF-062DDF529C51}"/>
            </c:ext>
          </c:extLst>
        </c:ser>
        <c:ser>
          <c:idx val="54"/>
          <c:order val="5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Main!$R$140:$R$164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Main!$S$140:$S$164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F7F1-4F27-92EF-062DDF529C51}"/>
            </c:ext>
          </c:extLst>
        </c:ser>
        <c:ser>
          <c:idx val="55"/>
          <c:order val="5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Main!$R$166:$R$190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Main!$S$166:$S$190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F7F1-4F27-92EF-062DDF529C51}"/>
            </c:ext>
          </c:extLst>
        </c:ser>
        <c:ser>
          <c:idx val="56"/>
          <c:order val="5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Main!$R$192:$R$216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Main!$S$192:$S$216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F7F1-4F27-92EF-062DDF529C51}"/>
            </c:ext>
          </c:extLst>
        </c:ser>
        <c:ser>
          <c:idx val="57"/>
          <c:order val="5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Main!$R$218:$R$242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Main!$S$218:$S$242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F7F1-4F27-92EF-062DDF529C51}"/>
            </c:ext>
          </c:extLst>
        </c:ser>
        <c:ser>
          <c:idx val="58"/>
          <c:order val="5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Main!$R$244:$R$268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Main!$S$244:$S$268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F7F1-4F27-92EF-062DDF529C51}"/>
            </c:ext>
          </c:extLst>
        </c:ser>
        <c:ser>
          <c:idx val="59"/>
          <c:order val="5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Main!$R$270:$R$294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Main!$S$270:$S$294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F7F1-4F27-92EF-062DDF529C51}"/>
            </c:ext>
          </c:extLst>
        </c:ser>
        <c:ser>
          <c:idx val="60"/>
          <c:order val="6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Main!$R$296:$R$319</c:f>
              <c:numCache>
                <c:formatCode>General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xVal>
          <c:yVal>
            <c:numRef>
              <c:f>Main!$S$296:$S$320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F7F1-4F27-92EF-062DDF529C51}"/>
            </c:ext>
          </c:extLst>
        </c:ser>
        <c:ser>
          <c:idx val="61"/>
          <c:order val="6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Main!$X$114:$X$138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Main!$Y$114:$Y$138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F7F1-4F27-92EF-062DDF529C51}"/>
            </c:ext>
          </c:extLst>
        </c:ser>
        <c:ser>
          <c:idx val="62"/>
          <c:order val="6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Main!$X$140:$X$164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Main!$Y$140:$Y$164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F7F1-4F27-92EF-062DDF529C51}"/>
            </c:ext>
          </c:extLst>
        </c:ser>
        <c:ser>
          <c:idx val="63"/>
          <c:order val="6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Main!$X$166:$X$190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Main!$Y$166:$Y$190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F7F1-4F27-92EF-062DDF529C51}"/>
            </c:ext>
          </c:extLst>
        </c:ser>
        <c:ser>
          <c:idx val="64"/>
          <c:order val="6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Main!$X$192:$X$216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Main!$Y$192:$Y$216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F7F1-4F27-92EF-062DDF529C51}"/>
            </c:ext>
          </c:extLst>
        </c:ser>
        <c:ser>
          <c:idx val="65"/>
          <c:order val="6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Main!$X$218:$X$242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Main!$Y$218:$Y$242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F7F1-4F27-92EF-062DDF529C51}"/>
            </c:ext>
          </c:extLst>
        </c:ser>
        <c:ser>
          <c:idx val="66"/>
          <c:order val="6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Main!$X$244:$X$268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Main!$Y$244:$Y$268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F7F1-4F27-92EF-062DDF529C51}"/>
            </c:ext>
          </c:extLst>
        </c:ser>
        <c:ser>
          <c:idx val="67"/>
          <c:order val="6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Main!$X$270:$X$294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Main!$Y$270:$Y$294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F7F1-4F27-92EF-062DDF529C51}"/>
            </c:ext>
          </c:extLst>
        </c:ser>
        <c:ser>
          <c:idx val="68"/>
          <c:order val="6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Main!$X$296:$X$320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Main!$Y$296:$Y$320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F7F1-4F27-92EF-062DDF529C51}"/>
            </c:ext>
          </c:extLst>
        </c:ser>
        <c:ser>
          <c:idx val="69"/>
          <c:order val="6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Main!$AA$114:$AA$138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Main!$AB$114:$AB$138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F7F1-4F27-92EF-062DDF529C51}"/>
            </c:ext>
          </c:extLst>
        </c:ser>
        <c:ser>
          <c:idx val="70"/>
          <c:order val="7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Main!$AA$140:$AA$164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Main!$AB$140:$AB$164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F7F1-4F27-92EF-062DDF529C51}"/>
            </c:ext>
          </c:extLst>
        </c:ser>
        <c:ser>
          <c:idx val="71"/>
          <c:order val="7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Main!$AA$166:$AA$190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Main!$AB$166:$AB$190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F7F1-4F27-92EF-062DDF529C51}"/>
            </c:ext>
          </c:extLst>
        </c:ser>
        <c:ser>
          <c:idx val="72"/>
          <c:order val="7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Main!$AA$192:$AA$216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Main!$AB$192:$AB$216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F7F1-4F27-92EF-062DDF529C51}"/>
            </c:ext>
          </c:extLst>
        </c:ser>
        <c:ser>
          <c:idx val="73"/>
          <c:order val="7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Main!$AA$218:$AA$242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Main!$AB$218:$AB$242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F7F1-4F27-92EF-062DDF529C51}"/>
            </c:ext>
          </c:extLst>
        </c:ser>
        <c:ser>
          <c:idx val="74"/>
          <c:order val="7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Main!$AA$244:$AA$268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Main!$AB$244:$AB$268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F7F1-4F27-92EF-062DDF529C51}"/>
            </c:ext>
          </c:extLst>
        </c:ser>
        <c:ser>
          <c:idx val="75"/>
          <c:order val="75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Main!$AA$270:$AA$294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Main!$AB$270:$AB$294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F7F1-4F27-92EF-062DDF529C51}"/>
            </c:ext>
          </c:extLst>
        </c:ser>
        <c:ser>
          <c:idx val="76"/>
          <c:order val="76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Main!$AA$296:$AA$320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Main!$AB$296:$AB$320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F7F1-4F27-92EF-062DDF529C51}"/>
            </c:ext>
          </c:extLst>
        </c:ser>
        <c:ser>
          <c:idx val="77"/>
          <c:order val="77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Main!$U$114:$U$138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Main!$V$114:$V$138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F7F1-4F27-92EF-062DDF529C51}"/>
            </c:ext>
          </c:extLst>
        </c:ser>
        <c:ser>
          <c:idx val="78"/>
          <c:order val="78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Main!$U$140:$U$164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Main!$V$140:$V$164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F7F1-4F27-92EF-062DDF529C51}"/>
            </c:ext>
          </c:extLst>
        </c:ser>
        <c:ser>
          <c:idx val="79"/>
          <c:order val="79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Main!$U$166:$U$190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Main!$V$166:$V$190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F7F1-4F27-92EF-062DDF529C51}"/>
            </c:ext>
          </c:extLst>
        </c:ser>
        <c:ser>
          <c:idx val="80"/>
          <c:order val="80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Main!$U$192:$U$216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Main!$V$192:$V$216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F7F1-4F27-92EF-062DDF529C51}"/>
            </c:ext>
          </c:extLst>
        </c:ser>
        <c:ser>
          <c:idx val="81"/>
          <c:order val="81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Main!$U$218:$U$242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Main!$V$218:$V$242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F7F1-4F27-92EF-062DDF529C51}"/>
            </c:ext>
          </c:extLst>
        </c:ser>
        <c:ser>
          <c:idx val="82"/>
          <c:order val="82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Main!$U$244:$U$268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Main!$V$244:$V$268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F7F1-4F27-92EF-062DDF529C51}"/>
            </c:ext>
          </c:extLst>
        </c:ser>
        <c:ser>
          <c:idx val="83"/>
          <c:order val="83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Main!$U$270:$U$294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Main!$V$270:$V$294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F7F1-4F27-92EF-062DDF529C51}"/>
            </c:ext>
          </c:extLst>
        </c:ser>
        <c:ser>
          <c:idx val="84"/>
          <c:order val="84"/>
          <c:spPr>
            <a:ln w="9525" cap="rnd" cmpd="dbl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Main!$U$296:$U$320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Main!$V$296:$V$320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F7F1-4F27-92EF-062DDF529C51}"/>
            </c:ext>
          </c:extLst>
        </c:ser>
        <c:ser>
          <c:idx val="168"/>
          <c:order val="168"/>
          <c:tx>
            <c:v>넉백 사거리</c:v>
          </c:tx>
          <c:spPr>
            <a:ln w="9525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F7F1-4F27-92EF-062DDF529C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/>
                      <a:t>Knockback Range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FB-4791-9304-0346269D810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F7F1-4F27-92EF-062DDF529C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3"/>
              <c:pt idx="0">
                <c:v>7.79</c:v>
              </c:pt>
              <c:pt idx="1">
                <c:v>7.79</c:v>
              </c:pt>
              <c:pt idx="2">
                <c:v>7.79</c:v>
              </c:pt>
            </c:numLit>
          </c:xVal>
          <c:yVal>
            <c:numLit>
              <c:formatCode>General</c:formatCode>
              <c:ptCount val="3"/>
              <c:pt idx="0">
                <c:v>-2</c:v>
              </c:pt>
              <c:pt idx="1">
                <c:v>10</c:v>
              </c:pt>
              <c:pt idx="2">
                <c:v>11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B2-F7F1-4F27-92EF-062DDF529C51}"/>
            </c:ext>
          </c:extLst>
        </c:ser>
        <c:ser>
          <c:idx val="169"/>
          <c:order val="169"/>
          <c:tx>
            <c:strRef>
              <c:f>hare!$C$140</c:f>
              <c:strCache>
                <c:ptCount val="1"/>
                <c:pt idx="0">
                  <c:v>Grenade</c:v>
                </c:pt>
              </c:strCache>
            </c:strRef>
          </c:tx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hare!$C$115:$C$139</c:f>
              <c:numCache>
                <c:formatCode>General</c:formatCode>
                <c:ptCount val="25"/>
                <c:pt idx="0">
                  <c:v>13.9</c:v>
                </c:pt>
                <c:pt idx="1">
                  <c:v>13.801184896238297</c:v>
                </c:pt>
                <c:pt idx="2">
                  <c:v>13.511473670974873</c:v>
                </c:pt>
                <c:pt idx="3">
                  <c:v>13.050609665440987</c:v>
                </c:pt>
                <c:pt idx="4">
                  <c:v>12.45</c:v>
                </c:pt>
                <c:pt idx="5">
                  <c:v>11.75057523079731</c:v>
                </c:pt>
                <c:pt idx="6">
                  <c:v>11</c:v>
                </c:pt>
                <c:pt idx="7">
                  <c:v>10.24942476920269</c:v>
                </c:pt>
                <c:pt idx="8">
                  <c:v>9.5500000000000007</c:v>
                </c:pt>
                <c:pt idx="9">
                  <c:v>8.9493903345590127</c:v>
                </c:pt>
                <c:pt idx="10">
                  <c:v>8.4885263290251274</c:v>
                </c:pt>
                <c:pt idx="11">
                  <c:v>8.198815103761703</c:v>
                </c:pt>
                <c:pt idx="12">
                  <c:v>8.1</c:v>
                </c:pt>
                <c:pt idx="13">
                  <c:v>8.1988151037617012</c:v>
                </c:pt>
                <c:pt idx="14">
                  <c:v>8.4885263290251274</c:v>
                </c:pt>
                <c:pt idx="15">
                  <c:v>8.9493903345590127</c:v>
                </c:pt>
                <c:pt idx="16">
                  <c:v>9.5499999999999989</c:v>
                </c:pt>
                <c:pt idx="17">
                  <c:v>10.24942476920269</c:v>
                </c:pt>
                <c:pt idx="18">
                  <c:v>11</c:v>
                </c:pt>
                <c:pt idx="19">
                  <c:v>11.750575230797311</c:v>
                </c:pt>
                <c:pt idx="20">
                  <c:v>12.45</c:v>
                </c:pt>
                <c:pt idx="21">
                  <c:v>13.050609665440987</c:v>
                </c:pt>
                <c:pt idx="22">
                  <c:v>13.511473670974871</c:v>
                </c:pt>
                <c:pt idx="23">
                  <c:v>13.801184896238297</c:v>
                </c:pt>
                <c:pt idx="24">
                  <c:v>13.9</c:v>
                </c:pt>
              </c:numCache>
            </c:numRef>
          </c:xVal>
          <c:yVal>
            <c:numRef>
              <c:f>hare!$D$115:$D$139</c:f>
              <c:numCache>
                <c:formatCode>General</c:formatCode>
                <c:ptCount val="25"/>
                <c:pt idx="0">
                  <c:v>4</c:v>
                </c:pt>
                <c:pt idx="1">
                  <c:v>4.7505752307973097</c:v>
                </c:pt>
                <c:pt idx="2">
                  <c:v>5.4499999999999993</c:v>
                </c:pt>
                <c:pt idx="3">
                  <c:v>6.0506096654409873</c:v>
                </c:pt>
                <c:pt idx="4">
                  <c:v>6.5114736709748717</c:v>
                </c:pt>
                <c:pt idx="5">
                  <c:v>6.8011848962382979</c:v>
                </c:pt>
                <c:pt idx="6">
                  <c:v>6.9</c:v>
                </c:pt>
                <c:pt idx="7">
                  <c:v>6.8011848962382979</c:v>
                </c:pt>
                <c:pt idx="8">
                  <c:v>6.5114736709748726</c:v>
                </c:pt>
                <c:pt idx="9">
                  <c:v>6.0506096654409873</c:v>
                </c:pt>
                <c:pt idx="10">
                  <c:v>5.4499999999999993</c:v>
                </c:pt>
                <c:pt idx="11">
                  <c:v>4.7505752307973106</c:v>
                </c:pt>
                <c:pt idx="12">
                  <c:v>4</c:v>
                </c:pt>
                <c:pt idx="13">
                  <c:v>3.2494247692026912</c:v>
                </c:pt>
                <c:pt idx="14">
                  <c:v>2.5499999999999998</c:v>
                </c:pt>
                <c:pt idx="15">
                  <c:v>1.9493903345590122</c:v>
                </c:pt>
                <c:pt idx="16">
                  <c:v>1.4885263290251287</c:v>
                </c:pt>
                <c:pt idx="17">
                  <c:v>1.1988151037617021</c:v>
                </c:pt>
                <c:pt idx="18">
                  <c:v>1.1000000000000001</c:v>
                </c:pt>
                <c:pt idx="19">
                  <c:v>1.1988151037617021</c:v>
                </c:pt>
                <c:pt idx="20">
                  <c:v>1.4885263290251283</c:v>
                </c:pt>
                <c:pt idx="21">
                  <c:v>1.9493903345590118</c:v>
                </c:pt>
                <c:pt idx="22">
                  <c:v>2.5499999999999989</c:v>
                </c:pt>
                <c:pt idx="23">
                  <c:v>3.2494247692026903</c:v>
                </c:pt>
                <c:pt idx="24">
                  <c:v>3.9999999999999991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C-F7F1-4F27-92EF-062DDF529C51}"/>
            </c:ext>
          </c:extLst>
        </c:ser>
        <c:ser>
          <c:idx val="170"/>
          <c:order val="170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hare!$G$115:$G$139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hare!$H$115:$H$139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D-F7F1-4F27-92EF-062DDF529C51}"/>
            </c:ext>
          </c:extLst>
        </c:ser>
        <c:ser>
          <c:idx val="171"/>
          <c:order val="171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hare!$K$115:$K$139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hare!$L$115:$L$139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E-F7F1-4F27-92EF-062DDF529C51}"/>
            </c:ext>
          </c:extLst>
        </c:ser>
        <c:ser>
          <c:idx val="172"/>
          <c:order val="172"/>
          <c:spPr>
            <a:ln w="952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hare!$M$115:$M$139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hare!$P$115:$P$139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F-F7F1-4F27-92EF-062DDF529C51}"/>
            </c:ext>
          </c:extLst>
        </c:ser>
        <c:ser>
          <c:idx val="173"/>
          <c:order val="173"/>
          <c:spPr>
            <a:ln w="952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hare!$Q$115:$Q$139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hare!$T$115:$T$139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0-F7F1-4F27-92EF-062DDF529C51}"/>
            </c:ext>
          </c:extLst>
        </c:ser>
        <c:ser>
          <c:idx val="174"/>
          <c:order val="174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hare!$U$115:$U$139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xVal>
          <c:yVal>
            <c:numRef>
              <c:f>hare!$X$115:$X$139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1-F7F1-4F27-92EF-062DDF529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30184"/>
        <c:axId val="55393051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96"/>
                <c:spPr>
                  <a:ln w="3175" cap="rnd">
                    <a:solidFill>
                      <a:srgbClr val="FF0000"/>
                    </a:solidFill>
                    <a:prstDash val="sys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Main!$C$322:$C$346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Main!$D$322:$D$346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68-F7F1-4F27-92EF-062DDF529C51}"/>
                  </c:ext>
                </c:extLst>
              </c15:ser>
            </c15:filteredScatterSeries>
            <c15:filteredScatterSeries>
              <c15:ser>
                <c:idx val="97"/>
                <c:order val="97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Main!$F$322:$F$346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Main!$G$322:$G$346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F7F1-4F27-92EF-062DDF529C51}"/>
                  </c:ext>
                </c:extLst>
              </c15:ser>
            </c15:filteredScatterSeries>
            <c15:filteredScatterSeries>
              <c15:ser>
                <c:idx val="98"/>
                <c:order val="98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Main!$I$322:$I$346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Main!$J$322:$J$346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A-F7F1-4F27-92EF-062DDF529C51}"/>
                  </c:ext>
                </c:extLst>
              </c15:ser>
            </c15:filteredScatterSeries>
            <c15:filteredScatterSeries>
              <c15:ser>
                <c:idx val="99"/>
                <c:order val="99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Main!$L$322:$L$346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Main!$M$322:$M$346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B-F7F1-4F27-92EF-062DDF529C51}"/>
                  </c:ext>
                </c:extLst>
              </c15:ser>
            </c15:filteredScatterSeries>
            <c15:filteredScatterSeries>
              <c15:ser>
                <c:idx val="100"/>
                <c:order val="100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Main!$O$322:$O$346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Main!$P$322:$P$346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C-F7F1-4F27-92EF-062DDF529C51}"/>
                  </c:ext>
                </c:extLst>
              </c15:ser>
            </c15:filteredScatterSeries>
            <c15:filteredScatterSeries>
              <c15:ser>
                <c:idx val="101"/>
                <c:order val="101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Main!$R$322:$R$346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Main!$S$322:$S$346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D-F7F1-4F27-92EF-062DDF529C51}"/>
                  </c:ext>
                </c:extLst>
              </c15:ser>
            </c15:filteredScatterSeries>
            <c15:filteredScatterSeries>
              <c15:ser>
                <c:idx val="102"/>
                <c:order val="102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Main!$U$322:$U$346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Main!$V$322:$V$346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E-F7F1-4F27-92EF-062DDF529C51}"/>
                  </c:ext>
                </c:extLst>
              </c15:ser>
            </c15:filteredScatterSeries>
            <c15:filteredScatterSeries>
              <c15:ser>
                <c:idx val="103"/>
                <c:order val="103"/>
                <c:spPr>
                  <a:ln w="3175" cap="rnd">
                    <a:solidFill>
                      <a:srgbClr val="FF0000"/>
                    </a:solidFill>
                    <a:prstDash val="dash"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Main!$X$322:$X$346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Main!$Y$322:$Y$346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F-F7F1-4F27-92EF-062DDF529C51}"/>
                  </c:ext>
                </c:extLst>
              </c15:ser>
            </c15:filteredScatterSeries>
            <c15:filteredScatterSeries>
              <c15:ser>
                <c:idx val="104"/>
                <c:order val="104"/>
                <c:spPr>
                  <a:ln w="9525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Main!$AA$322:$AA$346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Main!$AB$322:$AB$346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0-F7F1-4F27-92EF-062DDF529C51}"/>
                  </c:ext>
                </c:extLst>
              </c15:ser>
            </c15:filteredScatterSeries>
            <c15:filteredScatterSeries>
              <c15:ser>
                <c:idx val="105"/>
                <c:order val="10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Main!$C$348:$C$372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Main!$D$348:$D$372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1-F7F1-4F27-92EF-062DDF529C51}"/>
                  </c:ext>
                </c:extLst>
              </c15:ser>
            </c15:filteredScatterSeries>
            <c15:filteredScatterSeries>
              <c15:ser>
                <c:idx val="106"/>
                <c:order val="10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Main!$F$348:$F$372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Main!$G$348:$G$372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2-F7F1-4F27-92EF-062DDF529C51}"/>
                  </c:ext>
                </c:extLst>
              </c15:ser>
            </c15:filteredScatterSeries>
            <c15:filteredScatterSeries>
              <c15:ser>
                <c:idx val="107"/>
                <c:order val="10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Main!$I$348:$I$372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Main!$J$348:$J$372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3-F7F1-4F27-92EF-062DDF529C51}"/>
                  </c:ext>
                </c:extLst>
              </c15:ser>
            </c15:filteredScatterSeries>
            <c15:filteredScatterSeries>
              <c15:ser>
                <c:idx val="108"/>
                <c:order val="10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Main!$L$348:$L$372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Main!$M$348:$M$372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4-F7F1-4F27-92EF-062DDF529C51}"/>
                  </c:ext>
                </c:extLst>
              </c15:ser>
            </c15:filteredScatterSeries>
            <c15:filteredScatterSeries>
              <c15:ser>
                <c:idx val="109"/>
                <c:order val="10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Main!$O$348:$O$372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Main!$P$348:$P$372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5-F7F1-4F27-92EF-062DDF529C51}"/>
                  </c:ext>
                </c:extLst>
              </c15:ser>
            </c15:filteredScatterSeries>
            <c15:filteredScatterSeries>
              <c15:ser>
                <c:idx val="110"/>
                <c:order val="11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Main!$R$348:$R$372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Main!$S$348:$S$372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6-F7F1-4F27-92EF-062DDF529C51}"/>
                  </c:ext>
                </c:extLst>
              </c15:ser>
            </c15:filteredScatterSeries>
            <c15:filteredScatterSeries>
              <c15:ser>
                <c:idx val="111"/>
                <c:order val="11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Main!$U$348:$U$372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Main!$V$348:$V$372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7-F7F1-4F27-92EF-062DDF529C51}"/>
                  </c:ext>
                </c:extLst>
              </c15:ser>
            </c15:filteredScatterSeries>
            <c15:filteredScatterSeries>
              <c15:ser>
                <c:idx val="112"/>
                <c:order val="11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Main!$X$348:$X$372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Main!$Y$348:$Y$372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8-F7F1-4F27-92EF-062DDF529C51}"/>
                  </c:ext>
                </c:extLst>
              </c15:ser>
            </c15:filteredScatterSeries>
            <c15:filteredScatterSeries>
              <c15:ser>
                <c:idx val="113"/>
                <c:order val="11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Main!$AA$348:$AA$372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Main!$AB$348:$AB$372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9-F7F1-4F27-92EF-062DDF529C51}"/>
                  </c:ext>
                </c:extLst>
              </c15:ser>
            </c15:filteredScatterSeries>
            <c15:filteredScatterSeries>
              <c15:ser>
                <c:idx val="114"/>
                <c:order val="11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Main!$C$374:$C$398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Main!$D$374:$D$398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A-F7F1-4F27-92EF-062DDF529C51}"/>
                  </c:ext>
                </c:extLst>
              </c15:ser>
            </c15:filteredScatterSeries>
            <c15:filteredScatterSeries>
              <c15:ser>
                <c:idx val="115"/>
                <c:order val="11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Main!$F$374:$F$398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Main!$G$374:$G$398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B-F7F1-4F27-92EF-062DDF529C51}"/>
                  </c:ext>
                </c:extLst>
              </c15:ser>
            </c15:filteredScatterSeries>
            <c15:filteredScatterSeries>
              <c15:ser>
                <c:idx val="116"/>
                <c:order val="11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Main!$I$374:$I$398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Main!$J$374:$J$398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C-F7F1-4F27-92EF-062DDF529C51}"/>
                  </c:ext>
                </c:extLst>
              </c15:ser>
            </c15:filteredScatterSeries>
            <c15:filteredScatterSeries>
              <c15:ser>
                <c:idx val="117"/>
                <c:order val="11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Main!$L$374:$L$398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Main!$M$374:$M$398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D-F7F1-4F27-92EF-062DDF529C51}"/>
                  </c:ext>
                </c:extLst>
              </c15:ser>
            </c15:filteredScatterSeries>
            <c15:filteredScatterSeries>
              <c15:ser>
                <c:idx val="118"/>
                <c:order val="11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Main!$O$374:$O$398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Main!$P$374:$P$398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E-F7F1-4F27-92EF-062DDF529C51}"/>
                  </c:ext>
                </c:extLst>
              </c15:ser>
            </c15:filteredScatterSeries>
            <c15:filteredScatterSeries>
              <c15:ser>
                <c:idx val="119"/>
                <c:order val="11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Main!$R$374:$R$398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Main!$S$374:$S$398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F-F7F1-4F27-92EF-062DDF529C51}"/>
                  </c:ext>
                </c:extLst>
              </c15:ser>
            </c15:filteredScatterSeries>
            <c15:filteredScatterSeries>
              <c15:ser>
                <c:idx val="120"/>
                <c:order val="12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Main!$U$374:$U$398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Main!$V$374:$V$398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0-F7F1-4F27-92EF-062DDF529C51}"/>
                  </c:ext>
                </c:extLst>
              </c15:ser>
            </c15:filteredScatterSeries>
            <c15:filteredScatterSeries>
              <c15:ser>
                <c:idx val="121"/>
                <c:order val="12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Main!$X$374:$X$398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Main!$Y$374:$Y$398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1-F7F1-4F27-92EF-062DDF529C51}"/>
                  </c:ext>
                </c:extLst>
              </c15:ser>
            </c15:filteredScatterSeries>
            <c15:filteredScatterSeries>
              <c15:ser>
                <c:idx val="122"/>
                <c:order val="12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Main!$AA$374:$AA$398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Main!$AB$374:$AB$398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2-F7F1-4F27-92EF-062DDF529C51}"/>
                  </c:ext>
                </c:extLst>
              </c15:ser>
            </c15:filteredScatterSeries>
            <c15:filteredScatterSeries>
              <c15:ser>
                <c:idx val="123"/>
                <c:order val="12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Main!$C$400:$C$424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Main!$D$400:$D$424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3-F7F1-4F27-92EF-062DDF529C51}"/>
                  </c:ext>
                </c:extLst>
              </c15:ser>
            </c15:filteredScatterSeries>
            <c15:filteredScatterSeries>
              <c15:ser>
                <c:idx val="124"/>
                <c:order val="12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Main!$F$400:$F$424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Main!$G$400:$G$424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4-F7F1-4F27-92EF-062DDF529C51}"/>
                  </c:ext>
                </c:extLst>
              </c15:ser>
            </c15:filteredScatterSeries>
            <c15:filteredScatterSeries>
              <c15:ser>
                <c:idx val="125"/>
                <c:order val="12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Main!$I$400:$I$424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Main!$J$400:$J$424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5-F7F1-4F27-92EF-062DDF529C51}"/>
                  </c:ext>
                </c:extLst>
              </c15:ser>
            </c15:filteredScatterSeries>
            <c15:filteredScatterSeries>
              <c15:ser>
                <c:idx val="126"/>
                <c:order val="12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Main!$L$400:$L$424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Main!$M$400:$M$424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6-F7F1-4F27-92EF-062DDF529C51}"/>
                  </c:ext>
                </c:extLst>
              </c15:ser>
            </c15:filteredScatterSeries>
            <c15:filteredScatterSeries>
              <c15:ser>
                <c:idx val="127"/>
                <c:order val="12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Main!$O$400:$O$424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Main!$P$400:$P$424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7-F7F1-4F27-92EF-062DDF529C51}"/>
                  </c:ext>
                </c:extLst>
              </c15:ser>
            </c15:filteredScatterSeries>
            <c15:filteredScatterSeries>
              <c15:ser>
                <c:idx val="128"/>
                <c:order val="12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Main!$R$400:$R$424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Main!$S$400:$S$424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8-F7F1-4F27-92EF-062DDF529C51}"/>
                  </c:ext>
                </c:extLst>
              </c15:ser>
            </c15:filteredScatterSeries>
            <c15:filteredScatterSeries>
              <c15:ser>
                <c:idx val="129"/>
                <c:order val="12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Main!$U$400:$U$424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Main!$V$400:$V$424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9-F7F1-4F27-92EF-062DDF529C51}"/>
                  </c:ext>
                </c:extLst>
              </c15:ser>
            </c15:filteredScatterSeries>
            <c15:filteredScatterSeries>
              <c15:ser>
                <c:idx val="130"/>
                <c:order val="13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Main!$X$400:$X$424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Main!$Y$400:$Y$424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A-F7F1-4F27-92EF-062DDF529C51}"/>
                  </c:ext>
                </c:extLst>
              </c15:ser>
            </c15:filteredScatterSeries>
            <c15:filteredScatterSeries>
              <c15:ser>
                <c:idx val="131"/>
                <c:order val="13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Main!$AA$400:$AA$424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Main!$AB$400:$AB$424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B-F7F1-4F27-92EF-062DDF529C51}"/>
                  </c:ext>
                </c:extLst>
              </c15:ser>
            </c15:filteredScatterSeries>
            <c15:filteredScatterSeries>
              <c15:ser>
                <c:idx val="132"/>
                <c:order val="13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Main!$C$426:$C$450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Main!$D$426:$D$450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C-F7F1-4F27-92EF-062DDF529C51}"/>
                  </c:ext>
                </c:extLst>
              </c15:ser>
            </c15:filteredScatterSeries>
            <c15:filteredScatterSeries>
              <c15:ser>
                <c:idx val="133"/>
                <c:order val="13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Main!$F$426:$F$450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Main!$G$426:$G$450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D-F7F1-4F27-92EF-062DDF529C51}"/>
                  </c:ext>
                </c:extLst>
              </c15:ser>
            </c15:filteredScatterSeries>
            <c15:filteredScatterSeries>
              <c15:ser>
                <c:idx val="134"/>
                <c:order val="13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Main!$I$426:$I$450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Main!$J$426:$J$450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E-F7F1-4F27-92EF-062DDF529C51}"/>
                  </c:ext>
                </c:extLst>
              </c15:ser>
            </c15:filteredScatterSeries>
            <c15:filteredScatterSeries>
              <c15:ser>
                <c:idx val="135"/>
                <c:order val="13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Main!$L$426:$L$450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Main!$M$426:$M$450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F-F7F1-4F27-92EF-062DDF529C51}"/>
                  </c:ext>
                </c:extLst>
              </c15:ser>
            </c15:filteredScatterSeries>
            <c15:filteredScatterSeries>
              <c15:ser>
                <c:idx val="136"/>
                <c:order val="13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Main!$O$426:$O$450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Main!$P$426:$P$450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0-F7F1-4F27-92EF-062DDF529C51}"/>
                  </c:ext>
                </c:extLst>
              </c15:ser>
            </c15:filteredScatterSeries>
            <c15:filteredScatterSeries>
              <c15:ser>
                <c:idx val="137"/>
                <c:order val="13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Main!$R$426:$R$450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Main!$S$426:$S$450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1-F7F1-4F27-92EF-062DDF529C51}"/>
                  </c:ext>
                </c:extLst>
              </c15:ser>
            </c15:filteredScatterSeries>
            <c15:filteredScatterSeries>
              <c15:ser>
                <c:idx val="138"/>
                <c:order val="13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Main!$U$426:$U$450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Main!$V$426:$V$450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2-F7F1-4F27-92EF-062DDF529C51}"/>
                  </c:ext>
                </c:extLst>
              </c15:ser>
            </c15:filteredScatterSeries>
            <c15:filteredScatterSeries>
              <c15:ser>
                <c:idx val="139"/>
                <c:order val="13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Main!$X$426:$X$450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Main!$Y$426:$Y$450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3-F7F1-4F27-92EF-062DDF529C51}"/>
                  </c:ext>
                </c:extLst>
              </c15:ser>
            </c15:filteredScatterSeries>
            <c15:filteredScatterSeries>
              <c15:ser>
                <c:idx val="140"/>
                <c:order val="14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Main!$AA$426:$AA$450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Main!$AB$426:$AB$450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4-F7F1-4F27-92EF-062DDF529C51}"/>
                  </c:ext>
                </c:extLst>
              </c15:ser>
            </c15:filteredScatterSeries>
            <c15:filteredScatterSeries>
              <c15:ser>
                <c:idx val="141"/>
                <c:order val="14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Main!$C$452:$C$476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Main!$D$452:$D$476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5-F7F1-4F27-92EF-062DDF529C51}"/>
                  </c:ext>
                </c:extLst>
              </c15:ser>
            </c15:filteredScatterSeries>
            <c15:filteredScatterSeries>
              <c15:ser>
                <c:idx val="142"/>
                <c:order val="14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Main!$F$452:$F$476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Main!$G$452:$G$476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6-F7F1-4F27-92EF-062DDF529C51}"/>
                  </c:ext>
                </c:extLst>
              </c15:ser>
            </c15:filteredScatterSeries>
            <c15:filteredScatterSeries>
              <c15:ser>
                <c:idx val="143"/>
                <c:order val="14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Main!$I$452:$I$476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Main!$J$452:$J$476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7-F7F1-4F27-92EF-062DDF529C51}"/>
                  </c:ext>
                </c:extLst>
              </c15:ser>
            </c15:filteredScatterSeries>
            <c15:filteredScatterSeries>
              <c15:ser>
                <c:idx val="144"/>
                <c:order val="14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Main!$L$452:$L$476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Main!$M$452:$M$476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8-F7F1-4F27-92EF-062DDF529C51}"/>
                  </c:ext>
                </c:extLst>
              </c15:ser>
            </c15:filteredScatterSeries>
            <c15:filteredScatterSeries>
              <c15:ser>
                <c:idx val="145"/>
                <c:order val="14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Main!$O$452:$O$476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Main!$P$452:$P$476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9-F7F1-4F27-92EF-062DDF529C51}"/>
                  </c:ext>
                </c:extLst>
              </c15:ser>
            </c15:filteredScatterSeries>
            <c15:filteredScatterSeries>
              <c15:ser>
                <c:idx val="146"/>
                <c:order val="14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Main!$R$452:$R$476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Main!$S$452:$S$476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A-F7F1-4F27-92EF-062DDF529C51}"/>
                  </c:ext>
                </c:extLst>
              </c15:ser>
            </c15:filteredScatterSeries>
            <c15:filteredScatterSeries>
              <c15:ser>
                <c:idx val="147"/>
                <c:order val="14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Main!$U$452:$U$476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Main!$V$452:$V$476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B-F7F1-4F27-92EF-062DDF529C51}"/>
                  </c:ext>
                </c:extLst>
              </c15:ser>
            </c15:filteredScatterSeries>
            <c15:filteredScatterSeries>
              <c15:ser>
                <c:idx val="148"/>
                <c:order val="14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Main!$X$452:$X$476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Main!$Y$452:$Y$476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C-F7F1-4F27-92EF-062DDF529C51}"/>
                  </c:ext>
                </c:extLst>
              </c15:ser>
            </c15:filteredScatterSeries>
            <c15:filteredScatterSeries>
              <c15:ser>
                <c:idx val="149"/>
                <c:order val="14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Main!$AA$452:$AA$476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Main!$AB$452:$AB$476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D-F7F1-4F27-92EF-062DDF529C51}"/>
                  </c:ext>
                </c:extLst>
              </c15:ser>
            </c15:filteredScatterSeries>
            <c15:filteredScatterSeries>
              <c15:ser>
                <c:idx val="150"/>
                <c:order val="15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Main!$C$478:$C$502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Main!$D$478:$D$502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E-F7F1-4F27-92EF-062DDF529C51}"/>
                  </c:ext>
                </c:extLst>
              </c15:ser>
            </c15:filteredScatterSeries>
            <c15:filteredScatterSeries>
              <c15:ser>
                <c:idx val="151"/>
                <c:order val="15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Main!$F$478:$F$502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Main!$G$478:$G$502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F-F7F1-4F27-92EF-062DDF529C51}"/>
                  </c:ext>
                </c:extLst>
              </c15:ser>
            </c15:filteredScatterSeries>
            <c15:filteredScatterSeries>
              <c15:ser>
                <c:idx val="152"/>
                <c:order val="15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Main!$I$478:$I$502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Main!$J$478:$J$502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0-F7F1-4F27-92EF-062DDF529C51}"/>
                  </c:ext>
                </c:extLst>
              </c15:ser>
            </c15:filteredScatterSeries>
            <c15:filteredScatterSeries>
              <c15:ser>
                <c:idx val="153"/>
                <c:order val="15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Main!$L$478:$L$502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Main!$M$478:$M$502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1-F7F1-4F27-92EF-062DDF529C51}"/>
                  </c:ext>
                </c:extLst>
              </c15:ser>
            </c15:filteredScatterSeries>
            <c15:filteredScatterSeries>
              <c15:ser>
                <c:idx val="154"/>
                <c:order val="15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Main!$O$478:$O$502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Main!$P$478:$P$502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2-F7F1-4F27-92EF-062DDF529C51}"/>
                  </c:ext>
                </c:extLst>
              </c15:ser>
            </c15:filteredScatterSeries>
            <c15:filteredScatterSeries>
              <c15:ser>
                <c:idx val="155"/>
                <c:order val="15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Main!$R$478:$R$502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Main!$S$478:$S$502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3-F7F1-4F27-92EF-062DDF529C51}"/>
                  </c:ext>
                </c:extLst>
              </c15:ser>
            </c15:filteredScatterSeries>
            <c15:filteredScatterSeries>
              <c15:ser>
                <c:idx val="156"/>
                <c:order val="15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Main!$U$478:$U$502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Main!$V$478:$V$502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4-F7F1-4F27-92EF-062DDF529C51}"/>
                  </c:ext>
                </c:extLst>
              </c15:ser>
            </c15:filteredScatterSeries>
            <c15:filteredScatterSeries>
              <c15:ser>
                <c:idx val="157"/>
                <c:order val="15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Main!$X$478:$X$502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Main!$Y$478:$Y$502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5-F7F1-4F27-92EF-062DDF529C51}"/>
                  </c:ext>
                </c:extLst>
              </c15:ser>
            </c15:filteredScatterSeries>
            <c15:filteredScatterSeries>
              <c15:ser>
                <c:idx val="158"/>
                <c:order val="158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Main!$AA$478:$AA$502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Main!$AB$478:$AB$502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6-F7F1-4F27-92EF-062DDF529C51}"/>
                  </c:ext>
                </c:extLst>
              </c15:ser>
            </c15:filteredScatterSeries>
            <c15:filteredScatterSeries>
              <c15:ser>
                <c:idx val="159"/>
                <c:order val="159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Main!$C$504:$C$528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Main!$D$504:$D$528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7-F7F1-4F27-92EF-062DDF529C51}"/>
                  </c:ext>
                </c:extLst>
              </c15:ser>
            </c15:filteredScatterSeries>
            <c15:filteredScatterSeries>
              <c15:ser>
                <c:idx val="160"/>
                <c:order val="160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Main!$F$504:$F$528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Main!$G$504:$G$528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8-F7F1-4F27-92EF-062DDF529C51}"/>
                  </c:ext>
                </c:extLst>
              </c15:ser>
            </c15:filteredScatterSeries>
            <c15:filteredScatterSeries>
              <c15:ser>
                <c:idx val="161"/>
                <c:order val="161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Main!$I$504:$I$528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Main!$J$504:$J$528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9-F7F1-4F27-92EF-062DDF529C51}"/>
                  </c:ext>
                </c:extLst>
              </c15:ser>
            </c15:filteredScatterSeries>
            <c15:filteredScatterSeries>
              <c15:ser>
                <c:idx val="162"/>
                <c:order val="162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Main!$L$504:$L$528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Main!$M$504:$M$528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A-F7F1-4F27-92EF-062DDF529C51}"/>
                  </c:ext>
                </c:extLst>
              </c15:ser>
            </c15:filteredScatterSeries>
            <c15:filteredScatterSeries>
              <c15:ser>
                <c:idx val="163"/>
                <c:order val="163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Main!$O$504:$O$528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Main!$P$504:$P$528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B-F7F1-4F27-92EF-062DDF529C51}"/>
                  </c:ext>
                </c:extLst>
              </c15:ser>
            </c15:filteredScatterSeries>
            <c15:filteredScatterSeries>
              <c15:ser>
                <c:idx val="164"/>
                <c:order val="164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Main!$R$504:$R$528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Main!$S$504:$S$528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C-F7F1-4F27-92EF-062DDF529C51}"/>
                  </c:ext>
                </c:extLst>
              </c15:ser>
            </c15:filteredScatterSeries>
            <c15:filteredScatterSeries>
              <c15:ser>
                <c:idx val="165"/>
                <c:order val="165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Main!$U$504:$U$528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Main!$V$504:$V$528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D-F7F1-4F27-92EF-062DDF529C51}"/>
                  </c:ext>
                </c:extLst>
              </c15:ser>
            </c15:filteredScatterSeries>
            <c15:filteredScatterSeries>
              <c15:ser>
                <c:idx val="166"/>
                <c:order val="166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Main!$X$504:$X$528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Main!$Y$504:$Y$528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E-F7F1-4F27-92EF-062DDF529C51}"/>
                  </c:ext>
                </c:extLst>
              </c15:ser>
            </c15:filteredScatterSeries>
            <c15:filteredScatterSeries>
              <c15:ser>
                <c:idx val="167"/>
                <c:order val="167"/>
                <c:spPr>
                  <a:ln w="3175" cap="rnd" cmpd="sng" algn="ctr">
                    <a:solidFill>
                      <a:srgbClr val="FF0000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Main!$AA$504:$AA$528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Main!$AB$504:$AB$528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F-F7F1-4F27-92EF-062DDF529C51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Main!$AL$10:$AL$18</c:f>
              <c:numCache>
                <c:formatCode>General</c:formatCode>
                <c:ptCount val="9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</c:numCache>
            </c:numRef>
          </c:xVal>
          <c:yVal>
            <c:numRef>
              <c:f>Main!$AM$10:$AM$18</c:f>
              <c:numCache>
                <c:formatCode>General</c:formatCode>
                <c:ptCount val="9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F1-4F27-92EF-062DDF529C51}"/>
            </c:ext>
          </c:extLst>
        </c:ser>
        <c:ser>
          <c:idx val="94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Main!$AO$10:$AO$125</c:f>
              <c:numCache>
                <c:formatCode>General</c:formatCode>
                <c:ptCount val="116"/>
                <c:pt idx="0">
                  <c:v>-1.7</c:v>
                </c:pt>
                <c:pt idx="1">
                  <c:v>-1.7</c:v>
                </c:pt>
                <c:pt idx="2">
                  <c:v>-1.7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3.0999999999999996</c:v>
                </c:pt>
                <c:pt idx="7">
                  <c:v>3.0999999999999996</c:v>
                </c:pt>
                <c:pt idx="8">
                  <c:v>3.0999999999999996</c:v>
                </c:pt>
                <c:pt idx="9">
                  <c:v>-3.2</c:v>
                </c:pt>
                <c:pt idx="10">
                  <c:v>-3.2</c:v>
                </c:pt>
                <c:pt idx="11">
                  <c:v>-3.2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1.5999999999999996</c:v>
                </c:pt>
                <c:pt idx="16">
                  <c:v>1.5999999999999996</c:v>
                </c:pt>
                <c:pt idx="17">
                  <c:v>1.5999999999999996</c:v>
                </c:pt>
                <c:pt idx="18">
                  <c:v>-3.2</c:v>
                </c:pt>
                <c:pt idx="19">
                  <c:v>-3.2</c:v>
                </c:pt>
                <c:pt idx="20">
                  <c:v>-3.2</c:v>
                </c:pt>
                <c:pt idx="21">
                  <c:v>-0.8</c:v>
                </c:pt>
                <c:pt idx="22">
                  <c:v>-0.8</c:v>
                </c:pt>
                <c:pt idx="23">
                  <c:v>-0.8</c:v>
                </c:pt>
                <c:pt idx="24">
                  <c:v>1.5999999999999996</c:v>
                </c:pt>
                <c:pt idx="25">
                  <c:v>1.5999999999999996</c:v>
                </c:pt>
                <c:pt idx="26">
                  <c:v>1.5999999999999996</c:v>
                </c:pt>
                <c:pt idx="27">
                  <c:v>-2.4500000000000002</c:v>
                </c:pt>
                <c:pt idx="52">
                  <c:v>-10</c:v>
                </c:pt>
                <c:pt idx="53">
                  <c:v>-2.4500000000000002</c:v>
                </c:pt>
                <c:pt idx="60">
                  <c:v>-2.4500000000000002</c:v>
                </c:pt>
                <c:pt idx="61">
                  <c:v>-2.4500000000000002</c:v>
                </c:pt>
                <c:pt idx="77">
                  <c:v>-5.0000000000000044E-2</c:v>
                </c:pt>
                <c:pt idx="102">
                  <c:v>-5.0000000000000044E-2</c:v>
                </c:pt>
                <c:pt idx="103">
                  <c:v>-5.0000000000000044E-2</c:v>
                </c:pt>
                <c:pt idx="104">
                  <c:v>2.3499999999999996</c:v>
                </c:pt>
                <c:pt idx="105">
                  <c:v>2.3499999999999996</c:v>
                </c:pt>
                <c:pt idx="106">
                  <c:v>2.3499999999999996</c:v>
                </c:pt>
                <c:pt idx="107">
                  <c:v>-2.4500000000000002</c:v>
                </c:pt>
                <c:pt idx="108">
                  <c:v>-2.4500000000000002</c:v>
                </c:pt>
                <c:pt idx="109">
                  <c:v>-2.4500000000000002</c:v>
                </c:pt>
                <c:pt idx="110">
                  <c:v>-5.0000000000000044E-2</c:v>
                </c:pt>
                <c:pt idx="111">
                  <c:v>-5.0000000000000044E-2</c:v>
                </c:pt>
                <c:pt idx="112">
                  <c:v>-5.0000000000000044E-2</c:v>
                </c:pt>
                <c:pt idx="113">
                  <c:v>2.3499999999999996</c:v>
                </c:pt>
                <c:pt idx="114">
                  <c:v>2.3499999999999996</c:v>
                </c:pt>
                <c:pt idx="115">
                  <c:v>2.3499999999999996</c:v>
                </c:pt>
              </c:numCache>
            </c:numRef>
          </c:xVal>
          <c:yVal>
            <c:numRef>
              <c:f>Main!$AP$10:$AP$125</c:f>
              <c:numCache>
                <c:formatCode>General</c:formatCode>
                <c:ptCount val="116"/>
                <c:pt idx="0">
                  <c:v>-0.09</c:v>
                </c:pt>
                <c:pt idx="1">
                  <c:v>4.1100000000000003</c:v>
                </c:pt>
                <c:pt idx="2">
                  <c:v>8.31</c:v>
                </c:pt>
                <c:pt idx="3">
                  <c:v>-0.09</c:v>
                </c:pt>
                <c:pt idx="4">
                  <c:v>4.1100000000000003</c:v>
                </c:pt>
                <c:pt idx="5">
                  <c:v>8.31</c:v>
                </c:pt>
                <c:pt idx="6">
                  <c:v>-0.09</c:v>
                </c:pt>
                <c:pt idx="7">
                  <c:v>4.1100000000000003</c:v>
                </c:pt>
                <c:pt idx="8">
                  <c:v>8.31</c:v>
                </c:pt>
                <c:pt idx="9">
                  <c:v>-1.0900000000000001</c:v>
                </c:pt>
                <c:pt idx="10">
                  <c:v>3.1100000000000003</c:v>
                </c:pt>
                <c:pt idx="11">
                  <c:v>7.3100000000000005</c:v>
                </c:pt>
                <c:pt idx="12">
                  <c:v>-1.0900000000000001</c:v>
                </c:pt>
                <c:pt idx="13">
                  <c:v>3.1100000000000003</c:v>
                </c:pt>
                <c:pt idx="14">
                  <c:v>7.3100000000000005</c:v>
                </c:pt>
                <c:pt idx="15">
                  <c:v>-1.0900000000000001</c:v>
                </c:pt>
                <c:pt idx="16">
                  <c:v>3.1100000000000003</c:v>
                </c:pt>
                <c:pt idx="17">
                  <c:v>7.3100000000000005</c:v>
                </c:pt>
                <c:pt idx="18">
                  <c:v>0.91</c:v>
                </c:pt>
                <c:pt idx="19">
                  <c:v>5.1100000000000003</c:v>
                </c:pt>
                <c:pt idx="20">
                  <c:v>9.31</c:v>
                </c:pt>
                <c:pt idx="21">
                  <c:v>0.91</c:v>
                </c:pt>
                <c:pt idx="22">
                  <c:v>5.1100000000000003</c:v>
                </c:pt>
                <c:pt idx="23">
                  <c:v>9.31</c:v>
                </c:pt>
                <c:pt idx="24">
                  <c:v>0.91</c:v>
                </c:pt>
                <c:pt idx="25">
                  <c:v>5.1100000000000003</c:v>
                </c:pt>
                <c:pt idx="26">
                  <c:v>9.31</c:v>
                </c:pt>
                <c:pt idx="27">
                  <c:v>-0.69</c:v>
                </c:pt>
                <c:pt idx="52">
                  <c:v>3.5100000000000002</c:v>
                </c:pt>
                <c:pt idx="53">
                  <c:v>7.7100000000000009</c:v>
                </c:pt>
                <c:pt idx="60">
                  <c:v>3.5100000000000002</c:v>
                </c:pt>
                <c:pt idx="61">
                  <c:v>7.7100000000000009</c:v>
                </c:pt>
                <c:pt idx="77">
                  <c:v>-0.69</c:v>
                </c:pt>
                <c:pt idx="102">
                  <c:v>3.5100000000000002</c:v>
                </c:pt>
                <c:pt idx="103">
                  <c:v>7.7100000000000009</c:v>
                </c:pt>
                <c:pt idx="104">
                  <c:v>-0.69</c:v>
                </c:pt>
                <c:pt idx="105">
                  <c:v>3.5100000000000002</c:v>
                </c:pt>
                <c:pt idx="106">
                  <c:v>7.7100000000000009</c:v>
                </c:pt>
                <c:pt idx="107">
                  <c:v>0.51</c:v>
                </c:pt>
                <c:pt idx="108">
                  <c:v>4.71</c:v>
                </c:pt>
                <c:pt idx="109">
                  <c:v>8.91</c:v>
                </c:pt>
                <c:pt idx="110">
                  <c:v>0.51</c:v>
                </c:pt>
                <c:pt idx="111">
                  <c:v>4.71</c:v>
                </c:pt>
                <c:pt idx="112">
                  <c:v>8.91</c:v>
                </c:pt>
                <c:pt idx="113">
                  <c:v>0.51</c:v>
                </c:pt>
                <c:pt idx="114">
                  <c:v>4.71</c:v>
                </c:pt>
                <c:pt idx="115">
                  <c:v>8.91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F1-4F27-92EF-062DDF529C51}"/>
            </c:ext>
          </c:extLst>
        </c:ser>
        <c:ser>
          <c:idx val="4"/>
          <c:order val="4"/>
          <c:tx>
            <c:strRef>
              <c:f>Main!$D$7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FF0000"/>
              </a:soli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square"/>
              <c:size val="6"/>
              <c:spPr>
                <a:solidFill>
                  <a:srgbClr val="FF0000"/>
                </a:solidFill>
                <a:ln w="9525" cap="rnd">
                  <a:solidFill>
                    <a:schemeClr val="accent5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25400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7F1-4F27-92EF-062DDF529C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0" spc="0" normalizeH="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ea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Main!$C$561:$C$568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Main!$E$9:$E$16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F1-4F27-92EF-062DDF529C51}"/>
            </c:ext>
          </c:extLst>
        </c:ser>
        <c:ser>
          <c:idx val="0"/>
          <c:order val="5"/>
          <c:tx>
            <c:strRef>
              <c:f>Main!$G$7</c:f>
              <c:strCache>
                <c:ptCount val="1"/>
                <c:pt idx="0">
                  <c:v>Doppelsoldner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FFC000"/>
              </a:soli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Main!$F$561:$F$568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Main!$H$9:$H$16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F1-4F27-92EF-062DDF529C51}"/>
            </c:ext>
          </c:extLst>
        </c:ser>
        <c:ser>
          <c:idx val="5"/>
          <c:order val="6"/>
          <c:tx>
            <c:strRef>
              <c:f>Main!$J$7</c:f>
              <c:strCache>
                <c:ptCount val="1"/>
                <c:pt idx="0">
                  <c:v>Strelet1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FFFF00"/>
              </a:soli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Main!$I$561:$I$568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Main!$K$9:$K$16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7F1-4F27-92EF-062DDF529C51}"/>
            </c:ext>
          </c:extLst>
        </c:ser>
        <c:ser>
          <c:idx val="6"/>
          <c:order val="7"/>
          <c:tx>
            <c:strRef>
              <c:f>Main!$M$7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92D050"/>
              </a:soli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Main!$L$561:$L$568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Main!$N$9:$N$16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7F1-4F27-92EF-062DDF529C51}"/>
            </c:ext>
          </c:extLst>
        </c:ser>
        <c:ser>
          <c:idx val="7"/>
          <c:order val="8"/>
          <c:tx>
            <c:strRef>
              <c:f>Main!$P$7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0070C0"/>
              </a:solidFill>
              <a:ln w="9525" cap="rnd">
                <a:solidFill>
                  <a:srgbClr val="00B0F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Main!$O$561:$O$568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Main!$Q$9:$Q$16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7F1-4F27-92EF-062DDF529C51}"/>
            </c:ext>
          </c:extLst>
        </c:ser>
        <c:ser>
          <c:idx val="8"/>
          <c:order val="9"/>
          <c:tx>
            <c:strRef>
              <c:f>Main!$S$7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002060"/>
              </a:soli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Main!$R$561:$R$568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Main!$T$9:$T$16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7F1-4F27-92EF-062DDF529C51}"/>
            </c:ext>
          </c:extLst>
        </c:ser>
        <c:ser>
          <c:idx val="9"/>
          <c:order val="10"/>
          <c:tx>
            <c:strRef>
              <c:f>Main!$V$7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rgbClr val="7030A0"/>
              </a:soli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Main!$U$561:$U$568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Main!$W$9:$W$16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7F1-4F27-92EF-062DDF529C51}"/>
            </c:ext>
          </c:extLst>
        </c:ser>
        <c:ser>
          <c:idx val="10"/>
          <c:order val="11"/>
          <c:tx>
            <c:strRef>
              <c:f>Main!$Y$7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chemeClr val="bg1">
                  <a:lumMod val="95000"/>
                </a:schemeClr>
              </a:soli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Main!$X$561:$X$568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Main!$Z$9:$Z$16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7F1-4F27-92EF-062DDF529C51}"/>
            </c:ext>
          </c:extLst>
        </c:ser>
        <c:ser>
          <c:idx val="11"/>
          <c:order val="12"/>
          <c:tx>
            <c:strRef>
              <c:f>Main!$AB$7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6"/>
            <c:spPr>
              <a:solidFill>
                <a:schemeClr val="bg1">
                  <a:lumMod val="50000"/>
                </a:schemeClr>
              </a:soli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algun Gothic" panose="020B0503020000020004" pitchFamily="34" charset="-127"/>
                    <a:ea typeface="Malgun Gothic" panose="020B0503020000020004" pitchFamily="34" charset="-127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Main!$AA$561:$AA$568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Main!$AC$9:$AC$16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7F1-4F27-92EF-062DDF529C51}"/>
            </c:ext>
          </c:extLst>
        </c:ser>
        <c:ser>
          <c:idx val="85"/>
          <c:order val="8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FF0000"/>
              </a:solidFill>
              <a:ln w="0" cap="rnd" cmpd="dbl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Main!$C$529:$C$560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Main!$D$529:$D$560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7F1-4F27-92EF-062DDF529C51}"/>
            </c:ext>
          </c:extLst>
        </c:ser>
        <c:ser>
          <c:idx val="86"/>
          <c:order val="8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FFC000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Main!$F$529:$F$560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Main!$G$529:$G$560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7F1-4F27-92EF-062DDF529C51}"/>
            </c:ext>
          </c:extLst>
        </c:ser>
        <c:ser>
          <c:idx val="87"/>
          <c:order val="8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FFFF00"/>
              </a:solidFill>
              <a:ln w="9525" cap="rnd" cmpd="sng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Main!$I$529:$I$560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Main!$J$529:$J$560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7F1-4F27-92EF-062DDF529C51}"/>
            </c:ext>
          </c:extLst>
        </c:ser>
        <c:ser>
          <c:idx val="88"/>
          <c:order val="8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00B050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Main!$L$529:$L$560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Main!$M$529:$M$560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7F1-4F27-92EF-062DDF529C51}"/>
            </c:ext>
          </c:extLst>
        </c:ser>
        <c:ser>
          <c:idx val="89"/>
          <c:order val="8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0070C0"/>
              </a:solidFill>
              <a:ln w="9525" cap="rnd">
                <a:solidFill>
                  <a:schemeClr val="accent6">
                    <a:lumMod val="50000"/>
                  </a:schemeClr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Main!$O$529:$O$560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Main!$P$529:$P$560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7F1-4F27-92EF-062DDF529C51}"/>
            </c:ext>
          </c:extLst>
        </c:ser>
        <c:ser>
          <c:idx val="90"/>
          <c:order val="9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002060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Main!$R$529:$R$560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Main!$S$529:$S$560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7F1-4F27-92EF-062DDF529C51}"/>
            </c:ext>
          </c:extLst>
        </c:ser>
        <c:ser>
          <c:idx val="91"/>
          <c:order val="9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7030A0"/>
              </a:solidFill>
              <a:ln w="9525" cap="rnd">
                <a:solidFill>
                  <a:schemeClr val="tx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Main!$U$529:$U$560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Main!$V$529:$V$560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7F1-4F27-92EF-062DDF529C51}"/>
            </c:ext>
          </c:extLst>
        </c:ser>
        <c:ser>
          <c:idx val="92"/>
          <c:order val="9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chemeClr val="bg1"/>
              </a:solidFill>
              <a:ln w="9525" cap="rnd" cmpd="sng">
                <a:solidFill>
                  <a:schemeClr val="tx1"/>
                </a:solidFill>
                <a:prstDash val="sysDash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Main!$X$529:$X$560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Main!$Y$529:$Y$560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7F1-4F27-92EF-062DDF529C51}"/>
            </c:ext>
          </c:extLst>
        </c:ser>
        <c:ser>
          <c:idx val="93"/>
          <c:order val="9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6"/>
            <c:spPr>
              <a:solidFill>
                <a:schemeClr val="tx1">
                  <a:lumMod val="50000"/>
                  <a:lumOff val="50000"/>
                </a:schemeClr>
              </a:solidFill>
              <a:ln w="9525" cap="rnd">
                <a:solidFill>
                  <a:schemeClr val="bg1"/>
                </a:solidFill>
                <a:prstDash val="sysDot"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Main!$AA$529:$AA$560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Main!$AB$529:$AB$560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7F1-4F27-92EF-062DDF529C51}"/>
            </c:ext>
          </c:extLst>
        </c:ser>
        <c:ser>
          <c:idx val="95"/>
          <c:order val="94"/>
          <c:tx>
            <c:strRef>
              <c:f>Main!$AT$15</c:f>
              <c:strCache>
                <c:ptCount val="1"/>
                <c:pt idx="0">
                  <c:v>Chloe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ko-KR"/>
                      <a:t>Chloe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FB-4791-9304-0346269D81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/>
                      <a:t>Chloe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FB-4791-9304-0346269D81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Main!$AR$15:$AR$16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xVal>
          <c:yVal>
            <c:numRef>
              <c:f>Main!$AS$15:$AS$16</c:f>
              <c:numCache>
                <c:formatCode>General</c:formatCode>
                <c:ptCount val="2"/>
                <c:pt idx="0">
                  <c:v>6.91</c:v>
                </c:pt>
                <c:pt idx="1">
                  <c:v>2.21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7F1-4F27-92EF-062DDF529C51}"/>
            </c:ext>
          </c:extLst>
        </c:ser>
        <c:ser>
          <c:idx val="96"/>
          <c:order val="95"/>
          <c:tx>
            <c:strRef>
              <c:f>Main!$AT$17</c:f>
              <c:strCache>
                <c:ptCount val="1"/>
                <c:pt idx="0">
                  <c:v>Twin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9525" cap="rnd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ko-KR"/>
                      <a:t>Twin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FB-4791-9304-0346269D81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altLang="ko-KR"/>
                      <a:t>Twin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1FB-4791-9304-0346269D81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Main!$AR$17:$AR$18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xVal>
          <c:yVal>
            <c:numRef>
              <c:f>Main!$AS$17:$AS$18</c:f>
              <c:numCache>
                <c:formatCode>General</c:formatCode>
                <c:ptCount val="2"/>
                <c:pt idx="0">
                  <c:v>6.91</c:v>
                </c:pt>
                <c:pt idx="1">
                  <c:v>1.9100000000000001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F7F1-4F27-92EF-062DDF529C51}"/>
            </c:ext>
          </c:extLst>
        </c:ser>
        <c:ser>
          <c:idx val="175"/>
          <c:order val="175"/>
          <c:tx>
            <c:strRef>
              <c:f>hare!$C$140</c:f>
              <c:strCache>
                <c:ptCount val="1"/>
                <c:pt idx="0">
                  <c:v>Grenade</c:v>
                </c:pt>
              </c:strCache>
            </c:strRef>
          </c:tx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hare!$C$145:$C$149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hare!$D$145:$D$149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F7F1-4F27-92EF-062DDF529C51}"/>
            </c:ext>
          </c:extLst>
        </c:ser>
        <c:ser>
          <c:idx val="176"/>
          <c:order val="176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hare!$G$145:$G$149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hare!$H$145:$H$150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F7F1-4F27-92EF-062DDF529C51}"/>
            </c:ext>
          </c:extLst>
        </c:ser>
        <c:ser>
          <c:idx val="177"/>
          <c:order val="177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hare!$K$145:$K$149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hare!$L$145:$L$149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F7F1-4F27-92EF-062DDF529C51}"/>
            </c:ext>
          </c:extLst>
        </c:ser>
        <c:ser>
          <c:idx val="178"/>
          <c:order val="178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hare!$M$145:$M$149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hare!$P$145:$P$149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F7F1-4F27-92EF-062DDF529C51}"/>
            </c:ext>
          </c:extLst>
        </c:ser>
        <c:ser>
          <c:idx val="179"/>
          <c:order val="179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hare!$Q$145:$Q$149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hare!$T$145:$T$149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F7F1-4F27-92EF-062DDF529C51}"/>
            </c:ext>
          </c:extLst>
        </c:ser>
        <c:ser>
          <c:idx val="180"/>
          <c:order val="180"/>
          <c:spPr>
            <a:ln w="3175" cap="rnd">
              <a:solidFill>
                <a:srgbClr val="FF0000"/>
              </a:solidFill>
              <a:prstDash val="sys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hare!$U$145:$U$149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hare!$X$145:$X$149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F7F1-4F27-92EF-062DDF529C51}"/>
            </c:ext>
          </c:extLst>
        </c:ser>
        <c:ser>
          <c:idx val="181"/>
          <c:order val="181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hare!$C$155:$C$159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hare!$D$155:$D$159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F7F1-4F27-92EF-062DDF529C51}"/>
            </c:ext>
          </c:extLst>
        </c:ser>
        <c:ser>
          <c:idx val="182"/>
          <c:order val="182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hare!$G$155:$G$159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hare!$H$155:$H$159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F7F1-4F27-92EF-062DDF529C51}"/>
            </c:ext>
          </c:extLst>
        </c:ser>
        <c:ser>
          <c:idx val="183"/>
          <c:order val="183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hare!$K$155:$K$159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hare!$L$155:$L$159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F7F1-4F27-92EF-062DDF529C51}"/>
            </c:ext>
          </c:extLst>
        </c:ser>
        <c:ser>
          <c:idx val="184"/>
          <c:order val="184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hare!$M$155:$M$159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hare!$P$155:$P$159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F7F1-4F27-92EF-062DDF529C51}"/>
            </c:ext>
          </c:extLst>
        </c:ser>
        <c:ser>
          <c:idx val="185"/>
          <c:order val="185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hare!$Q$155:$Q$159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hare!$T$155:$T$159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F7F1-4F27-92EF-062DDF529C51}"/>
            </c:ext>
          </c:extLst>
        </c:ser>
        <c:ser>
          <c:idx val="186"/>
          <c:order val="186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hare!$U$155:$U$159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hare!$X$155:$X$159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F7F1-4F27-92EF-062DDF529C51}"/>
            </c:ext>
          </c:extLst>
        </c:ser>
        <c:ser>
          <c:idx val="187"/>
          <c:order val="187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hare!$C$165:$C$169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hare!$D$165:$D$169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F7F1-4F27-92EF-062DDF529C51}"/>
            </c:ext>
          </c:extLst>
        </c:ser>
        <c:ser>
          <c:idx val="188"/>
          <c:order val="188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hare!$G$165:$G$169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hare!$H$165:$H$169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F7F1-4F27-92EF-062DDF529C51}"/>
            </c:ext>
          </c:extLst>
        </c:ser>
        <c:ser>
          <c:idx val="189"/>
          <c:order val="189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hare!$K$165:$K$169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hare!$L$165:$L$169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F7F1-4F27-92EF-062DDF529C51}"/>
            </c:ext>
          </c:extLst>
        </c:ser>
        <c:ser>
          <c:idx val="190"/>
          <c:order val="190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hare!$M$165:$M$169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hare!$P$165:$P$169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F7F1-4F27-92EF-062DDF529C51}"/>
            </c:ext>
          </c:extLst>
        </c:ser>
        <c:ser>
          <c:idx val="191"/>
          <c:order val="191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hare!$Q$165:$Q$169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hare!$T$165:$T$169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F7F1-4F27-92EF-062DDF529C51}"/>
            </c:ext>
          </c:extLst>
        </c:ser>
        <c:ser>
          <c:idx val="192"/>
          <c:order val="192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hare!$U$165:$U$169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hare!$X$165:$X$169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F7F1-4F27-92EF-062DDF529C51}"/>
            </c:ext>
          </c:extLst>
        </c:ser>
        <c:ser>
          <c:idx val="193"/>
          <c:order val="193"/>
          <c:tx>
            <c:strRef>
              <c:f>hare!$C$140</c:f>
              <c:strCache>
                <c:ptCount val="1"/>
                <c:pt idx="0">
                  <c:v>Grenade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hare!$C$108</c:f>
              <c:numCache>
                <c:formatCode>General</c:formatCode>
                <c:ptCount val="1"/>
                <c:pt idx="0">
                  <c:v>11</c:v>
                </c:pt>
              </c:numCache>
            </c:numRef>
          </c:xVal>
          <c:yVal>
            <c:numRef>
              <c:f>hare!$D$108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F7F1-4F27-92EF-062DDF529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30184"/>
        <c:axId val="553930512"/>
      </c:scatterChart>
      <c:valAx>
        <c:axId val="553930184"/>
        <c:scaling>
          <c:orientation val="minMax"/>
          <c:max val="4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930512"/>
        <c:crosses val="autoZero"/>
        <c:crossBetween val="midCat"/>
        <c:majorUnit val="1"/>
      </c:valAx>
      <c:valAx>
        <c:axId val="553930512"/>
        <c:scaling>
          <c:orientation val="minMax"/>
          <c:max val="1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93018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CheckBox" fmlaLink="$AG$3" lockText="1" noThreeD="1"/>
</file>

<file path=xl/ctrlProps/ctrlProp2.xml><?xml version="1.0" encoding="utf-8"?>
<formControlPr xmlns="http://schemas.microsoft.com/office/spreadsheetml/2009/9/main" objectType="Drop" dropLines="30" dropStyle="combo" dx="22" fmlaLink="$D$17" fmlaRange="hare!$C$3:$C$31" noThreeD="1" sel="1" val="0"/>
</file>

<file path=xl/ctrlProps/ctrlProp3.xml><?xml version="1.0" encoding="utf-8"?>
<formControlPr xmlns="http://schemas.microsoft.com/office/spreadsheetml/2009/9/main" objectType="Drop" dropLines="30" dropStyle="combo" dx="22" fmlaLink="$G$17" fmlaRange="hare!$C$3:$C$31" noThreeD="1" sel="2" val="0"/>
</file>

<file path=xl/ctrlProps/ctrlProp4.xml><?xml version="1.0" encoding="utf-8"?>
<formControlPr xmlns="http://schemas.microsoft.com/office/spreadsheetml/2009/9/main" objectType="Drop" dropLines="30" dropStyle="combo" dx="22" fmlaLink="$J$17" fmlaRange="hare!$C$3:$C$31" noThreeD="1" sel="3" val="0"/>
</file>

<file path=xl/ctrlProps/ctrlProp5.xml><?xml version="1.0" encoding="utf-8"?>
<formControlPr xmlns="http://schemas.microsoft.com/office/spreadsheetml/2009/9/main" objectType="Drop" dropLines="30" dropStyle="combo" dx="22" fmlaLink="$M$17" fmlaRange="hare!$C$3:$C$31" noThreeD="1" sel="4" val="0"/>
</file>

<file path=xl/ctrlProps/ctrlProp6.xml><?xml version="1.0" encoding="utf-8"?>
<formControlPr xmlns="http://schemas.microsoft.com/office/spreadsheetml/2009/9/main" objectType="Drop" dropLines="30" dropStyle="combo" dx="22" fmlaLink="$P$17" fmlaRange="hare!$C$3:$C$31" noThreeD="1" sel="3" val="0"/>
</file>

<file path=xl/ctrlProps/ctrlProp7.xml><?xml version="1.0" encoding="utf-8"?>
<formControlPr xmlns="http://schemas.microsoft.com/office/spreadsheetml/2009/9/main" objectType="Drop" dropLines="30" dropStyle="combo" dx="22" fmlaLink="$S$17" fmlaRange="hare!$C$3:$C$31" noThreeD="1" sel="15" val="0"/>
</file>

<file path=xl/ctrlProps/ctrlProp8.xml><?xml version="1.0" encoding="utf-8"?>
<formControlPr xmlns="http://schemas.microsoft.com/office/spreadsheetml/2009/9/main" objectType="Drop" dropLines="30" dropStyle="combo" dx="22" fmlaLink="$V$17" fmlaRange="hare!$C$3:$C$31" noThreeD="1" sel="13" val="0"/>
</file>

<file path=xl/ctrlProps/ctrlProp9.xml><?xml version="1.0" encoding="utf-8"?>
<formControlPr xmlns="http://schemas.microsoft.com/office/spreadsheetml/2009/9/main" objectType="Drop" dropLines="30" dropStyle="combo" dx="22" fmlaLink="$Y$17" fmlaRange="hare!$C$3:$C$31" noThreeD="1" sel="19" val="0"/>
</file>

<file path=xl/ctrlProps/ctrlProp10.xml><?xml version="1.0" encoding="utf-8"?>
<formControlPr xmlns="http://schemas.microsoft.com/office/spreadsheetml/2009/9/main" objectType="Drop" dropLines="30" dropStyle="combo" dx="22" fmlaLink="$AB$17" fmlaRange="hare!$G$3:$G$31" noThreeD="1" sel="3" val="0"/>
</file>

<file path=xl/ctrlProps/ctrlProp11.xml><?xml version="1.0" encoding="utf-8"?>
<formControlPr xmlns="http://schemas.microsoft.com/office/spreadsheetml/2009/9/main" objectType="CheckBox" fmlaLink="$AH$3" lockText="1" noThreeD="1"/>
</file>

<file path=xl/ctrlProps/ctrlProp12.xml><?xml version="1.0" encoding="utf-8"?>
<formControlPr xmlns="http://schemas.microsoft.com/office/spreadsheetml/2009/9/main" objectType="CheckBox" fmlaLink="$AI$3" lockText="1" noThreeD="1"/>
</file>

<file path=xl/ctrlProps/ctrlProp13.xml><?xml version="1.0" encoding="utf-8"?>
<formControlPr xmlns="http://schemas.microsoft.com/office/spreadsheetml/2009/9/main" objectType="CheckBox" fmlaLink="$AJ$3" lockText="1" noThreeD="1"/>
</file>

<file path=xl/ctrlProps/ctrlProp14.xml><?xml version="1.0" encoding="utf-8"?>
<formControlPr xmlns="http://schemas.microsoft.com/office/spreadsheetml/2009/9/main" objectType="CheckBox" fmlaLink="$AK$3" lockText="1" noThreeD="1"/>
</file>

<file path=xl/ctrlProps/ctrlProp15.xml><?xml version="1.0" encoding="utf-8"?>
<formControlPr xmlns="http://schemas.microsoft.com/office/spreadsheetml/2009/9/main" objectType="CheckBox" fmlaLink="$AL$3" lockText="1" noThreeD="1"/>
</file>

<file path=xl/ctrlProps/ctrlProp16.xml><?xml version="1.0" encoding="utf-8"?>
<formControlPr xmlns="http://schemas.microsoft.com/office/spreadsheetml/2009/9/main" objectType="CheckBox" fmlaLink="$AM$3" lockText="1" noThreeD="1"/>
</file>

<file path=xl/ctrlProps/ctrlProp17.xml><?xml version="1.0" encoding="utf-8"?>
<formControlPr xmlns="http://schemas.microsoft.com/office/spreadsheetml/2009/9/main" objectType="CheckBox" fmlaLink="$AN$3" lockText="1" noThreeD="1"/>
</file>

<file path=xl/ctrlProps/ctrlProp18.xml><?xml version="1.0" encoding="utf-8"?>
<formControlPr xmlns="http://schemas.microsoft.com/office/spreadsheetml/2009/9/main" objectType="CheckBox" fmlaLink="$AO$3" lockText="1" noThreeD="1"/>
</file>

<file path=xl/ctrlProps/ctrlProp19.xml><?xml version="1.0" encoding="utf-8"?>
<formControlPr xmlns="http://schemas.microsoft.com/office/spreadsheetml/2009/9/main" objectType="CheckBox" fmlaLink="$I$7" lockText="1" noThreeD="1"/>
</file>

<file path=xl/ctrlProps/ctrlProp20.xml><?xml version="1.0" encoding="utf-8"?>
<formControlPr xmlns="http://schemas.microsoft.com/office/spreadsheetml/2009/9/main" objectType="CheckBox" fmlaLink="$L$7" lockText="1" noThreeD="1"/>
</file>

<file path=xl/ctrlProps/ctrlProp21.xml><?xml version="1.0" encoding="utf-8"?>
<formControlPr xmlns="http://schemas.microsoft.com/office/spreadsheetml/2009/9/main" objectType="CheckBox" fmlaLink="$O$7" lockText="1" noThreeD="1"/>
</file>

<file path=xl/ctrlProps/ctrlProp22.xml><?xml version="1.0" encoding="utf-8"?>
<formControlPr xmlns="http://schemas.microsoft.com/office/spreadsheetml/2009/9/main" objectType="CheckBox" fmlaLink="$R$7" lockText="1" noThreeD="1"/>
</file>

<file path=xl/ctrlProps/ctrlProp23.xml><?xml version="1.0" encoding="utf-8"?>
<formControlPr xmlns="http://schemas.microsoft.com/office/spreadsheetml/2009/9/main" objectType="CheckBox" fmlaLink="$U$7" lockText="1" noThreeD="1"/>
</file>

<file path=xl/ctrlProps/ctrlProp24.xml><?xml version="1.0" encoding="utf-8"?>
<formControlPr xmlns="http://schemas.microsoft.com/office/spreadsheetml/2009/9/main" objectType="CheckBox" fmlaLink="$X$7" lockText="1" noThreeD="1"/>
</file>

<file path=xl/ctrlProps/ctrlProp25.xml><?xml version="1.0" encoding="utf-8"?>
<formControlPr xmlns="http://schemas.microsoft.com/office/spreadsheetml/2009/9/main" objectType="CheckBox" fmlaLink="$AA$7" lockText="1" noThreeD="1"/>
</file>

<file path=xl/ctrlProps/ctrlProp26.xml><?xml version="1.0" encoding="utf-8"?>
<formControlPr xmlns="http://schemas.microsoft.com/office/spreadsheetml/2009/9/main" objectType="CheckBox" fmlaLink="$AD$7" lockText="1" noThreeD="1"/>
</file>

<file path=xl/ctrlProps/ctrlProp27.xml><?xml version="1.0" encoding="utf-8"?>
<formControlPr xmlns="http://schemas.microsoft.com/office/spreadsheetml/2009/9/main" objectType="CheckBox" fmlaLink="$F$7" lockText="1" noThreeD="1"/>
</file>

<file path=xl/ctrlProps/ctrlProp28.xml><?xml version="1.0" encoding="utf-8"?>
<formControlPr xmlns="http://schemas.microsoft.com/office/spreadsheetml/2009/9/main" objectType="CheckBox" fmlaLink="$F$17" lockText="1" noThreeD="1"/>
</file>

<file path=xl/ctrlProps/ctrlProp29.xml><?xml version="1.0" encoding="utf-8"?>
<formControlPr xmlns="http://schemas.microsoft.com/office/spreadsheetml/2009/9/main" objectType="CheckBox" checked="Checked" fmlaLink="$A$12" lockText="1" noThreeD="1"/>
</file>

<file path=xl/ctrlProps/ctrlProp30.xml><?xml version="1.0" encoding="utf-8"?>
<formControlPr xmlns="http://schemas.microsoft.com/office/spreadsheetml/2009/9/main" objectType="CheckBox" checked="Checked" fmlaLink="$A$13" lockText="1" noThreeD="1"/>
</file>

<file path=xl/ctrlProps/ctrlProp31.xml><?xml version="1.0" encoding="utf-8"?>
<formControlPr xmlns="http://schemas.microsoft.com/office/spreadsheetml/2009/9/main" objectType="CheckBox" checked="Checked" fmlaLink="$A$14" lockText="1" noThreeD="1"/>
</file>

<file path=xl/ctrlProps/ctrlProp32.xml><?xml version="1.0" encoding="utf-8"?>
<formControlPr xmlns="http://schemas.microsoft.com/office/spreadsheetml/2009/9/main" objectType="CheckBox" checked="Checked" fmlaLink="$A$11" lockText="1" noThreeD="1"/>
</file>

<file path=xl/ctrlProps/ctrlProp33.xml><?xml version="1.0" encoding="utf-8"?>
<formControlPr xmlns="http://schemas.microsoft.com/office/spreadsheetml/2009/9/main" objectType="CheckBox" checked="Checked" fmlaLink="$A$10" lockText="1" noThreeD="1"/>
</file>

<file path=xl/ctrlProps/ctrlProp34.xml><?xml version="1.0" encoding="utf-8"?>
<formControlPr xmlns="http://schemas.microsoft.com/office/spreadsheetml/2009/9/main" objectType="CheckBox" checked="Checked" fmlaLink="$A$9" lockText="1" noThreeD="1"/>
</file>

<file path=xl/ctrlProps/ctrlProp35.xml><?xml version="1.0" encoding="utf-8"?>
<formControlPr xmlns="http://schemas.microsoft.com/office/spreadsheetml/2009/9/main" objectType="CheckBox" checked="Checked" fmlaLink="$A$6" lockText="1" noThreeD="1"/>
</file>

<file path=xl/ctrlProps/ctrlProp36.xml><?xml version="1.0" encoding="utf-8"?>
<formControlPr xmlns="http://schemas.microsoft.com/office/spreadsheetml/2009/9/main" objectType="CheckBox" checked="Checked" fmlaLink="$A$7" lockText="1" noThreeD="1"/>
</file>

<file path=xl/ctrlProps/ctrlProp37.xml><?xml version="1.0" encoding="utf-8"?>
<formControlPr xmlns="http://schemas.microsoft.com/office/spreadsheetml/2009/9/main" objectType="CheckBox" checked="Checked" fmlaLink="$A$8" lockText="1" noThreeD="1"/>
</file>

<file path=xl/ctrlProps/ctrlProp38.xml><?xml version="1.0" encoding="utf-8"?>
<formControlPr xmlns="http://schemas.microsoft.com/office/spreadsheetml/2009/9/main" objectType="CheckBox" fmlaLink="$A$15" lockText="1" noThreeD="1"/>
</file>

<file path=xl/ctrlProps/ctrlProp39.xml><?xml version="1.0" encoding="utf-8"?>
<formControlPr xmlns="http://schemas.microsoft.com/office/spreadsheetml/2009/9/main" objectType="CheckBox" fmlaLink="$A$18" lockText="1" noThreeD="1"/>
</file>

<file path=xl/ctrlProps/ctrlProp40.xml><?xml version="1.0" encoding="utf-8"?>
<formControlPr xmlns="http://schemas.microsoft.com/office/spreadsheetml/2009/9/main" objectType="CheckBox" fmlaLink="$I$17" lockText="1" noThreeD="1"/>
</file>

<file path=xl/ctrlProps/ctrlProp41.xml><?xml version="1.0" encoding="utf-8"?>
<formControlPr xmlns="http://schemas.microsoft.com/office/spreadsheetml/2009/9/main" objectType="CheckBox" fmlaLink="$L$17" lockText="1" noThreeD="1"/>
</file>

<file path=xl/ctrlProps/ctrlProp42.xml><?xml version="1.0" encoding="utf-8"?>
<formControlPr xmlns="http://schemas.microsoft.com/office/spreadsheetml/2009/9/main" objectType="CheckBox" fmlaLink="$O$17" lockText="1" noThreeD="1"/>
</file>

<file path=xl/ctrlProps/ctrlProp43.xml><?xml version="1.0" encoding="utf-8"?>
<formControlPr xmlns="http://schemas.microsoft.com/office/spreadsheetml/2009/9/main" objectType="CheckBox" fmlaLink="$R$17" lockText="1" noThreeD="1"/>
</file>

<file path=xl/ctrlProps/ctrlProp44.xml><?xml version="1.0" encoding="utf-8"?>
<formControlPr xmlns="http://schemas.microsoft.com/office/spreadsheetml/2009/9/main" objectType="CheckBox" fmlaLink="$U$17" lockText="1" noThreeD="1"/>
</file>

<file path=xl/ctrlProps/ctrlProp45.xml><?xml version="1.0" encoding="utf-8"?>
<formControlPr xmlns="http://schemas.microsoft.com/office/spreadsheetml/2009/9/main" objectType="CheckBox" fmlaLink="$X$17" lockText="1" noThreeD="1"/>
</file>

<file path=xl/ctrlProps/ctrlProp46.xml><?xml version="1.0" encoding="utf-8"?>
<formControlPr xmlns="http://schemas.microsoft.com/office/spreadsheetml/2009/9/main" objectType="CheckBox" fmlaLink="$AA$17" lockText="1" noThreeD="1"/>
</file>

<file path=xl/ctrlProps/ctrlProp47.xml><?xml version="1.0" encoding="utf-8"?>
<formControlPr xmlns="http://schemas.microsoft.com/office/spreadsheetml/2009/9/main" objectType="CheckBox" fmlaLink="$AD$17" lockText="1" noThreeD="1"/>
</file>

<file path=xl/ctrlProps/ctrlProp48.xml><?xml version="1.0" encoding="utf-8"?>
<formControlPr xmlns="http://schemas.microsoft.com/office/spreadsheetml/2009/9/main" objectType="CheckBox" fmlaLink="$A$16" lockText="1" noThreeD="1"/>
</file>

<file path=xl/ctrlProps/ctrlProp49.xml><?xml version="1.0" encoding="utf-8"?>
<formControlPr xmlns="http://schemas.microsoft.com/office/spreadsheetml/2009/9/main" objectType="Drop" dropLines="5" dropStyle="combo" dx="22" fmlaLink="$D$1" fmlaRange="$AJ$5:$AJ$8" noThreeD="1" sel="3" val="0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Radio" checked="Checked" firstButton="1" fmlaLink="$A$22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Drop" dropLines="13" dropStyle="combo" dx="22" fmlaLink="$A$23" fmlaRange="hare!$AC$2:$AC$52" noThreeD="1" sel="31" val="21"/>
</file>

<file path=xl/ctrlProps/ctrlProp55.xml><?xml version="1.0" encoding="utf-8"?>
<formControlPr xmlns="http://schemas.microsoft.com/office/spreadsheetml/2009/9/main" objectType="CheckBox" checked="Checked" fmlaLink="$A$17:$B$17" lockText="1" noThreeD="1"/>
</file>

<file path=xl/ctrlProps/ctrlProp56.xml><?xml version="1.0" encoding="utf-8"?>
<formControlPr xmlns="http://schemas.microsoft.com/office/spreadsheetml/2009/9/main" objectType="CheckBox" fmlaLink="$A$5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</xdr:row>
          <xdr:rowOff>171450</xdr:rowOff>
        </xdr:from>
        <xdr:to>
          <xdr:col>6</xdr:col>
          <xdr:colOff>0</xdr:colOff>
          <xdr:row>4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9525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9525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9525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6</xdr:row>
          <xdr:rowOff>9525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6</xdr:row>
          <xdr:rowOff>9525</xdr:rowOff>
        </xdr:from>
        <xdr:to>
          <xdr:col>24</xdr:col>
          <xdr:colOff>0</xdr:colOff>
          <xdr:row>7</xdr:row>
          <xdr:rowOff>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6</xdr:row>
          <xdr:rowOff>9525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6</xdr:row>
          <xdr:rowOff>9525</xdr:rowOff>
        </xdr:from>
        <xdr:to>
          <xdr:col>30</xdr:col>
          <xdr:colOff>0</xdr:colOff>
          <xdr:row>7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171450</xdr:rowOff>
        </xdr:from>
        <xdr:to>
          <xdr:col>9</xdr:col>
          <xdr:colOff>0</xdr:colOff>
          <xdr:row>4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171450</xdr:rowOff>
        </xdr:from>
        <xdr:to>
          <xdr:col>12</xdr:col>
          <xdr:colOff>0</xdr:colOff>
          <xdr:row>4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</xdr:row>
          <xdr:rowOff>171450</xdr:rowOff>
        </xdr:from>
        <xdr:to>
          <xdr:col>15</xdr:col>
          <xdr:colOff>0</xdr:colOff>
          <xdr:row>4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</xdr:row>
          <xdr:rowOff>171450</xdr:rowOff>
        </xdr:from>
        <xdr:to>
          <xdr:col>18</xdr:col>
          <xdr:colOff>0</xdr:colOff>
          <xdr:row>4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</xdr:row>
          <xdr:rowOff>171450</xdr:rowOff>
        </xdr:from>
        <xdr:to>
          <xdr:col>21</xdr:col>
          <xdr:colOff>0</xdr:colOff>
          <xdr:row>4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</xdr:row>
          <xdr:rowOff>171450</xdr:rowOff>
        </xdr:from>
        <xdr:to>
          <xdr:col>24</xdr:col>
          <xdr:colOff>0</xdr:colOff>
          <xdr:row>4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2</xdr:row>
          <xdr:rowOff>171450</xdr:rowOff>
        </xdr:from>
        <xdr:to>
          <xdr:col>27</xdr:col>
          <xdr:colOff>0</xdr:colOff>
          <xdr:row>4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2</xdr:row>
          <xdr:rowOff>171450</xdr:rowOff>
        </xdr:from>
        <xdr:to>
          <xdr:col>30</xdr:col>
          <xdr:colOff>0</xdr:colOff>
          <xdr:row>4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</xdr:row>
          <xdr:rowOff>238125</xdr:rowOff>
        </xdr:from>
        <xdr:to>
          <xdr:col>8</xdr:col>
          <xdr:colOff>304800</xdr:colOff>
          <xdr:row>2</xdr:row>
          <xdr:rowOff>238125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</xdr:row>
          <xdr:rowOff>238125</xdr:rowOff>
        </xdr:from>
        <xdr:to>
          <xdr:col>11</xdr:col>
          <xdr:colOff>295275</xdr:colOff>
          <xdr:row>2</xdr:row>
          <xdr:rowOff>238125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</xdr:row>
          <xdr:rowOff>238125</xdr:rowOff>
        </xdr:from>
        <xdr:to>
          <xdr:col>14</xdr:col>
          <xdr:colOff>295275</xdr:colOff>
          <xdr:row>2</xdr:row>
          <xdr:rowOff>238125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</xdr:row>
          <xdr:rowOff>238125</xdr:rowOff>
        </xdr:from>
        <xdr:to>
          <xdr:col>17</xdr:col>
          <xdr:colOff>295275</xdr:colOff>
          <xdr:row>2</xdr:row>
          <xdr:rowOff>238125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238125</xdr:rowOff>
        </xdr:from>
        <xdr:to>
          <xdr:col>20</xdr:col>
          <xdr:colOff>295275</xdr:colOff>
          <xdr:row>2</xdr:row>
          <xdr:rowOff>238125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1</xdr:row>
          <xdr:rowOff>238125</xdr:rowOff>
        </xdr:from>
        <xdr:to>
          <xdr:col>23</xdr:col>
          <xdr:colOff>295275</xdr:colOff>
          <xdr:row>2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1</xdr:row>
          <xdr:rowOff>238125</xdr:rowOff>
        </xdr:from>
        <xdr:to>
          <xdr:col>26</xdr:col>
          <xdr:colOff>295275</xdr:colOff>
          <xdr:row>2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1</xdr:row>
          <xdr:rowOff>238125</xdr:rowOff>
        </xdr:from>
        <xdr:to>
          <xdr:col>29</xdr:col>
          <xdr:colOff>295275</xdr:colOff>
          <xdr:row>2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238125</xdr:rowOff>
        </xdr:from>
        <xdr:to>
          <xdr:col>5</xdr:col>
          <xdr:colOff>304800</xdr:colOff>
          <xdr:row>2</xdr:row>
          <xdr:rowOff>238125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Dummy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</xdr:row>
          <xdr:rowOff>104775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428625</xdr:colOff>
      <xdr:row>7</xdr:row>
      <xdr:rowOff>0</xdr:rowOff>
    </xdr:from>
    <xdr:to>
      <xdr:col>2</xdr:col>
      <xdr:colOff>0</xdr:colOff>
      <xdr:row>16</xdr:row>
      <xdr:rowOff>0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409575" y="1400175"/>
          <a:ext cx="1666875" cy="1743075"/>
          <a:chOff x="428625" y="847725"/>
          <a:chExt cx="2352675" cy="2333625"/>
        </a:xfrm>
      </xdr:grpSpPr>
      <xdr:grpSp>
        <xdr:nvGrpSpPr>
          <xdr:cNvPr id="5" name="그룹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428625" y="847725"/>
            <a:ext cx="2352675" cy="2333625"/>
            <a:chOff x="428625" y="847725"/>
            <a:chExt cx="2352675" cy="2333625"/>
          </a:xfrm>
        </xdr:grpSpPr>
        <xdr:sp macro="" textlink="">
          <xdr:nvSpPr>
            <xdr:cNvPr id="3" name="직사각형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>
              <a:off x="428625" y="847725"/>
              <a:ext cx="2352675" cy="2333625"/>
            </a:xfrm>
            <a:prstGeom prst="rect">
              <a:avLst/>
            </a:prstGeom>
            <a:noFill/>
            <a:ln w="254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41" name="직사각형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428625" y="1638300"/>
              <a:ext cx="2352675" cy="776687"/>
            </a:xfrm>
            <a:prstGeom prst="rect">
              <a:avLst/>
            </a:prstGeom>
            <a:noFill/>
            <a:ln w="254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" textlink="">
          <xdr:nvSpPr>
            <xdr:cNvPr id="52" name="직사각형 51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/>
          </xdr:nvSpPr>
          <xdr:spPr>
            <a:xfrm>
              <a:off x="1212849" y="847725"/>
              <a:ext cx="783027" cy="2333625"/>
            </a:xfrm>
            <a:prstGeom prst="rect">
              <a:avLst/>
            </a:prstGeom>
            <a:noFill/>
            <a:ln w="254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8" name="Check Box 34" hidden="1">
                <a:extLst>
                  <a:ext uri="{63B3BB69-23CF-44E3-9099-C40C66FF867C}">
                    <a14:compatExt spid="_x0000_s1058"/>
                  </a:ext>
                  <a:ext uri="{FF2B5EF4-FFF2-40B4-BE49-F238E27FC236}">
                    <a16:creationId xmlns:a16="http://schemas.microsoft.com/office/drawing/2014/main" id="{00000000-0008-0000-0000-000022040000}"/>
                  </a:ext>
                </a:extLst>
              </xdr:cNvPr>
              <xdr:cNvSpPr/>
            </xdr:nvSpPr>
            <xdr:spPr bwMode="auto">
              <a:xfrm>
                <a:off x="538565" y="98107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9" name="Check Box 35" hidden="1">
                <a:extLst>
                  <a:ext uri="{63B3BB69-23CF-44E3-9099-C40C66FF867C}">
                    <a14:compatExt spid="_x0000_s1059"/>
                  </a:ext>
                  <a:ext uri="{FF2B5EF4-FFF2-40B4-BE49-F238E27FC236}">
                    <a16:creationId xmlns:a16="http://schemas.microsoft.com/office/drawing/2014/main" id="{00000000-0008-0000-0000-000023040000}"/>
                  </a:ext>
                </a:extLst>
              </xdr:cNvPr>
              <xdr:cNvSpPr/>
            </xdr:nvSpPr>
            <xdr:spPr bwMode="auto">
              <a:xfrm>
                <a:off x="1319615" y="98107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0" name="Check Box 36" hidden="1">
                <a:extLst>
                  <a:ext uri="{63B3BB69-23CF-44E3-9099-C40C66FF867C}">
                    <a14:compatExt spid="_x0000_s1060"/>
                  </a:ext>
                  <a:ext uri="{FF2B5EF4-FFF2-40B4-BE49-F238E27FC236}">
                    <a16:creationId xmlns:a16="http://schemas.microsoft.com/office/drawing/2014/main" id="{00000000-0008-0000-0000-000024040000}"/>
                  </a:ext>
                </a:extLst>
              </xdr:cNvPr>
              <xdr:cNvSpPr/>
            </xdr:nvSpPr>
            <xdr:spPr bwMode="auto">
              <a:xfrm>
                <a:off x="2091140" y="98107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1" name="Check Box 37" hidden="1">
                <a:extLst>
                  <a:ext uri="{63B3BB69-23CF-44E3-9099-C40C66FF867C}">
                    <a14:compatExt spid="_x0000_s1061"/>
                  </a:ext>
                  <a:ext uri="{FF2B5EF4-FFF2-40B4-BE49-F238E27FC236}">
                    <a16:creationId xmlns:a16="http://schemas.microsoft.com/office/drawing/2014/main" id="{00000000-0008-0000-0000-000025040000}"/>
                  </a:ext>
                </a:extLst>
              </xdr:cNvPr>
              <xdr:cNvSpPr/>
            </xdr:nvSpPr>
            <xdr:spPr bwMode="auto">
              <a:xfrm>
                <a:off x="2091140" y="176212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2" name="Check Box 38" hidden="1">
                <a:extLst>
                  <a:ext uri="{63B3BB69-23CF-44E3-9099-C40C66FF867C}">
                    <a14:compatExt spid="_x0000_s1062"/>
                  </a:ext>
                  <a:ext uri="{FF2B5EF4-FFF2-40B4-BE49-F238E27FC236}">
                    <a16:creationId xmlns:a16="http://schemas.microsoft.com/office/drawing/2014/main" id="{00000000-0008-0000-0000-000026040000}"/>
                  </a:ext>
                </a:extLst>
              </xdr:cNvPr>
              <xdr:cNvSpPr/>
            </xdr:nvSpPr>
            <xdr:spPr bwMode="auto">
              <a:xfrm>
                <a:off x="1319615" y="176212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3" name="Check Box 39" hidden="1">
                <a:extLst>
                  <a:ext uri="{63B3BB69-23CF-44E3-9099-C40C66FF867C}">
                    <a14:compatExt spid="_x0000_s1063"/>
                  </a:ext>
                  <a:ext uri="{FF2B5EF4-FFF2-40B4-BE49-F238E27FC236}">
                    <a16:creationId xmlns:a16="http://schemas.microsoft.com/office/drawing/2014/main" id="{00000000-0008-0000-0000-000027040000}"/>
                  </a:ext>
                </a:extLst>
              </xdr:cNvPr>
              <xdr:cNvSpPr/>
            </xdr:nvSpPr>
            <xdr:spPr bwMode="auto">
              <a:xfrm>
                <a:off x="529040" y="1762125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4" name="Check Box 40" hidden="1">
                <a:extLst>
                  <a:ext uri="{63B3BB69-23CF-44E3-9099-C40C66FF867C}">
                    <a14:compatExt spid="_x0000_s1064"/>
                  </a:ext>
                  <a:ext uri="{FF2B5EF4-FFF2-40B4-BE49-F238E27FC236}">
                    <a16:creationId xmlns:a16="http://schemas.microsoft.com/office/drawing/2014/main" id="{00000000-0008-0000-0000-000028040000}"/>
                  </a:ext>
                </a:extLst>
              </xdr:cNvPr>
              <xdr:cNvSpPr/>
            </xdr:nvSpPr>
            <xdr:spPr bwMode="auto">
              <a:xfrm>
                <a:off x="529040" y="2533650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5" name="Check Box 41" hidden="1">
                <a:extLst>
                  <a:ext uri="{63B3BB69-23CF-44E3-9099-C40C66FF867C}">
                    <a14:compatExt spid="_x0000_s1065"/>
                  </a:ext>
                  <a:ext uri="{FF2B5EF4-FFF2-40B4-BE49-F238E27FC236}">
                    <a16:creationId xmlns:a16="http://schemas.microsoft.com/office/drawing/2014/main" id="{00000000-0008-0000-0000-000029040000}"/>
                  </a:ext>
                </a:extLst>
              </xdr:cNvPr>
              <xdr:cNvSpPr/>
            </xdr:nvSpPr>
            <xdr:spPr bwMode="auto">
              <a:xfrm>
                <a:off x="1319615" y="2533650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6" name="Check Box 42" hidden="1">
                <a:extLst>
                  <a:ext uri="{63B3BB69-23CF-44E3-9099-C40C66FF867C}">
                    <a14:compatExt spid="_x0000_s1066"/>
                  </a:ext>
                  <a:ext uri="{FF2B5EF4-FFF2-40B4-BE49-F238E27FC236}">
                    <a16:creationId xmlns:a16="http://schemas.microsoft.com/office/drawing/2014/main" id="{00000000-0008-0000-0000-00002A040000}"/>
                  </a:ext>
                </a:extLst>
              </xdr:cNvPr>
              <xdr:cNvSpPr/>
            </xdr:nvSpPr>
            <xdr:spPr bwMode="auto">
              <a:xfrm>
                <a:off x="2091140" y="2533650"/>
                <a:ext cx="533400" cy="533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Pos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4</xdr:row>
          <xdr:rowOff>19050</xdr:rowOff>
        </xdr:from>
        <xdr:to>
          <xdr:col>2</xdr:col>
          <xdr:colOff>0</xdr:colOff>
          <xdr:row>5</xdr:row>
          <xdr:rowOff>66675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Taunt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4</xdr:row>
          <xdr:rowOff>209550</xdr:rowOff>
        </xdr:from>
        <xdr:to>
          <xdr:col>2</xdr:col>
          <xdr:colOff>0</xdr:colOff>
          <xdr:row>6</xdr:row>
          <xdr:rowOff>28575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Twin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104775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104775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3</xdr:row>
          <xdr:rowOff>104775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3</xdr:row>
          <xdr:rowOff>104775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104775</xdr:rowOff>
        </xdr:from>
        <xdr:to>
          <xdr:col>21</xdr:col>
          <xdr:colOff>0</xdr:colOff>
          <xdr:row>5</xdr:row>
          <xdr:rowOff>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3</xdr:row>
          <xdr:rowOff>95250</xdr:rowOff>
        </xdr:from>
        <xdr:to>
          <xdr:col>24</xdr:col>
          <xdr:colOff>0</xdr:colOff>
          <xdr:row>4</xdr:row>
          <xdr:rowOff>190500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3</xdr:row>
          <xdr:rowOff>104775</xdr:rowOff>
        </xdr:from>
        <xdr:to>
          <xdr:col>27</xdr:col>
          <xdr:colOff>0</xdr:colOff>
          <xdr:row>5</xdr:row>
          <xdr:rowOff>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</xdr:row>
          <xdr:rowOff>104775</xdr:rowOff>
        </xdr:from>
        <xdr:to>
          <xdr:col>30</xdr:col>
          <xdr:colOff>0</xdr:colOff>
          <xdr:row>5</xdr:row>
          <xdr:rowOff>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Attack Position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5</xdr:row>
          <xdr:rowOff>180975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Chloe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</xdr:row>
          <xdr:rowOff>9525</xdr:rowOff>
        </xdr:from>
        <xdr:to>
          <xdr:col>14</xdr:col>
          <xdr:colOff>0</xdr:colOff>
          <xdr:row>1</xdr:row>
          <xdr:rowOff>228600</xdr:rowOff>
        </xdr:to>
        <xdr:sp macro="" textlink="">
          <xdr:nvSpPr>
            <xdr:cNvPr id="1079" name="Drop Dow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Import Enemy 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1</xdr:row>
          <xdr:rowOff>0</xdr:rowOff>
        </xdr:from>
        <xdr:to>
          <xdr:col>27</xdr:col>
          <xdr:colOff>238125</xdr:colOff>
          <xdr:row>2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21</xdr:row>
          <xdr:rowOff>0</xdr:rowOff>
        </xdr:from>
        <xdr:to>
          <xdr:col>1</xdr:col>
          <xdr:colOff>1276350</xdr:colOff>
          <xdr:row>22</xdr:row>
          <xdr:rowOff>0</xdr:rowOff>
        </xdr:to>
        <xdr:sp macro="" textlink="">
          <xdr:nvSpPr>
            <xdr:cNvPr id="1083" name="Option 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Ally Skill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1114425</xdr:colOff>
          <xdr:row>21</xdr:row>
          <xdr:rowOff>0</xdr:rowOff>
        </xdr:from>
        <xdr:to>
          <xdr:col>2</xdr:col>
          <xdr:colOff>323850</xdr:colOff>
          <xdr:row>22</xdr:row>
          <xdr:rowOff>0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Enemy Skill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19050</xdr:colOff>
      <xdr:row>19</xdr:row>
      <xdr:rowOff>28574</xdr:rowOff>
    </xdr:from>
    <xdr:to>
      <xdr:col>1</xdr:col>
      <xdr:colOff>962025</xdr:colOff>
      <xdr:row>19</xdr:row>
      <xdr:rowOff>285749</xdr:rowOff>
    </xdr:to>
    <xdr:sp macro="" textlink="$A$20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57200" y="4143374"/>
          <a:ext cx="942975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4C1D8BB-B0D5-43BF-86DA-71AA9C78EECF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X-Axis</a:t>
          </a:fld>
          <a:endParaRPr lang="en-US" altLang="ko-KR" sz="1100">
            <a:latin typeface="+mj-ea"/>
            <a:ea typeface="+mj-ea"/>
          </a:endParaRPr>
        </a:p>
      </xdr:txBody>
    </xdr:sp>
    <xdr:clientData/>
  </xdr:twoCellAnchor>
  <xdr:twoCellAnchor>
    <xdr:from>
      <xdr:col>1</xdr:col>
      <xdr:colOff>9525</xdr:colOff>
      <xdr:row>20</xdr:row>
      <xdr:rowOff>28575</xdr:rowOff>
    </xdr:from>
    <xdr:to>
      <xdr:col>1</xdr:col>
      <xdr:colOff>962025</xdr:colOff>
      <xdr:row>20</xdr:row>
      <xdr:rowOff>285750</xdr:rowOff>
    </xdr:to>
    <xdr:sp macro="" textlink="$A$21">
      <xdr:nvSpPr>
        <xdr:cNvPr id="73" name="TextBox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447675" y="4448175"/>
          <a:ext cx="952500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95E117-7888-48C1-BB10-29826C65A710}" type="TxLink">
            <a:rPr lang="en-US" altLang="en-US" sz="11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Y Axis</a:t>
          </a:fld>
          <a:endParaRPr lang="en-US" altLang="ko-KR" sz="1100">
            <a:latin typeface="+mj-ea"/>
            <a:ea typeface="+mj-ea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2</xdr:col>
          <xdr:colOff>285750</xdr:colOff>
          <xdr:row>20</xdr:row>
          <xdr:rowOff>0</xdr:rowOff>
        </xdr:to>
        <xdr:sp macro="" textlink="">
          <xdr:nvSpPr>
            <xdr:cNvPr id="1089" name="SpinButton1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091" name="Drop Dow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20</xdr:row>
          <xdr:rowOff>9525</xdr:rowOff>
        </xdr:from>
        <xdr:to>
          <xdr:col>2</xdr:col>
          <xdr:colOff>285750</xdr:colOff>
          <xdr:row>21</xdr:row>
          <xdr:rowOff>0</xdr:rowOff>
        </xdr:to>
        <xdr:sp macro="" textlink="">
          <xdr:nvSpPr>
            <xdr:cNvPr id="1093" name="SpinButton2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</xdr:row>
          <xdr:rowOff>19050</xdr:rowOff>
        </xdr:from>
        <xdr:to>
          <xdr:col>2</xdr:col>
          <xdr:colOff>238125</xdr:colOff>
          <xdr:row>1</xdr:row>
          <xdr:rowOff>238125</xdr:rowOff>
        </xdr:to>
        <xdr:sp macro="" textlink="">
          <xdr:nvSpPr>
            <xdr:cNvPr id="1094" name="SpinButton3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17</xdr:row>
      <xdr:rowOff>0</xdr:rowOff>
    </xdr:from>
    <xdr:to>
      <xdr:col>29</xdr:col>
      <xdr:colOff>380998</xdr:colOff>
      <xdr:row>31</xdr:row>
      <xdr:rowOff>114305</xdr:rowOff>
    </xdr:to>
    <xdr:grpSp>
      <xdr:nvGrpSpPr>
        <xdr:cNvPr id="76" name="그룹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pSpPr/>
      </xdr:nvGrpSpPr>
      <xdr:grpSpPr>
        <a:xfrm>
          <a:off x="2457450" y="3295650"/>
          <a:ext cx="10286998" cy="3352805"/>
          <a:chOff x="-2345268" y="-914037"/>
          <a:chExt cx="12487276" cy="3946080"/>
        </a:xfrm>
      </xdr:grpSpPr>
      <xdr:graphicFrame macro="">
        <xdr:nvGraphicFramePr>
          <xdr:cNvPr id="77" name="차트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GraphicFramePr/>
        </xdr:nvGraphicFramePr>
        <xdr:xfrm>
          <a:off x="-2345268" y="-914037"/>
          <a:ext cx="12487276" cy="39460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" name="Check Box 71" hidden="1">
                <a:extLst>
                  <a:ext uri="{63B3BB69-23CF-44E3-9099-C40C66FF867C}">
                    <a14:compatExt spid="_x0000_s1095"/>
                  </a:ext>
                  <a:ext uri="{FF2B5EF4-FFF2-40B4-BE49-F238E27FC236}">
                    <a16:creationId xmlns:a16="http://schemas.microsoft.com/office/drawing/2014/main" id="{00000000-0008-0000-0000-000047040000}"/>
                  </a:ext>
                </a:extLst>
              </xdr:cNvPr>
              <xdr:cNvSpPr/>
            </xdr:nvSpPr>
            <xdr:spPr bwMode="auto">
              <a:xfrm>
                <a:off x="-1914525" y="-765459"/>
                <a:ext cx="1438275" cy="24764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en-US" sz="900" b="0" i="0" u="none" strike="noStrike" baseline="0">
                    <a:solidFill>
                      <a:srgbClr val="000000"/>
                    </a:solidFill>
                    <a:latin typeface="Malgun Gothic"/>
                    <a:ea typeface="Malgun Gothic"/>
                  </a:rPr>
                  <a:t>Show Dummy Links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1085850</xdr:colOff>
          <xdr:row>2</xdr:row>
          <xdr:rowOff>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Frame Increment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38101</xdr:colOff>
      <xdr:row>2</xdr:row>
      <xdr:rowOff>19050</xdr:rowOff>
    </xdr:from>
    <xdr:to>
      <xdr:col>1</xdr:col>
      <xdr:colOff>857250</xdr:colOff>
      <xdr:row>2</xdr:row>
      <xdr:rowOff>238124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6251" y="419100"/>
          <a:ext cx="819149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altLang="ko-KR" sz="1000"/>
            <a:t>Echelon</a:t>
          </a:r>
          <a:r>
            <a:rPr lang="en-US" altLang="ko-KR" sz="1000" baseline="0"/>
            <a:t> </a:t>
          </a:r>
          <a:r>
            <a:rPr lang="en-US" altLang="ko-KR" sz="1000"/>
            <a:t>Speed</a:t>
          </a:r>
          <a:endParaRPr lang="ko-KR" alt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</xdr:row>
          <xdr:rowOff>19050</xdr:rowOff>
        </xdr:from>
        <xdr:to>
          <xdr:col>2</xdr:col>
          <xdr:colOff>238125</xdr:colOff>
          <xdr:row>2</xdr:row>
          <xdr:rowOff>238125</xdr:rowOff>
        </xdr:to>
        <xdr:sp macro="" textlink="">
          <xdr:nvSpPr>
            <xdr:cNvPr id="1098" name="SpinButton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28575</xdr:colOff>
      <xdr:row>19</xdr:row>
      <xdr:rowOff>0</xdr:rowOff>
    </xdr:from>
    <xdr:to>
      <xdr:col>1</xdr:col>
      <xdr:colOff>1295400</xdr:colOff>
      <xdr:row>19</xdr:row>
      <xdr:rowOff>285751</xdr:rowOff>
    </xdr:to>
    <xdr:sp macro="" textlink="">
      <xdr:nvSpPr>
        <xdr:cNvPr id="78" name="Rectangle 80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>
          <a:off x="438150" y="3905250"/>
          <a:ext cx="1266825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bg1">
                  <a:lumMod val="100000"/>
                </a:schemeClr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</xdr:col>
      <xdr:colOff>47624</xdr:colOff>
      <xdr:row>20</xdr:row>
      <xdr:rowOff>0</xdr:rowOff>
    </xdr:from>
    <xdr:to>
      <xdr:col>1</xdr:col>
      <xdr:colOff>1647825</xdr:colOff>
      <xdr:row>20</xdr:row>
      <xdr:rowOff>285751</xdr:rowOff>
    </xdr:to>
    <xdr:sp macro="" textlink="">
      <xdr:nvSpPr>
        <xdr:cNvPr id="79" name="Rectangle 9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457199" y="4210050"/>
          <a:ext cx="1600201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bg1">
                  <a:lumMod val="100000"/>
                </a:schemeClr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18</xdr:col>
      <xdr:colOff>219075</xdr:colOff>
      <xdr:row>36</xdr:row>
      <xdr:rowOff>58607</xdr:rowOff>
    </xdr:from>
    <xdr:to>
      <xdr:col>42</xdr:col>
      <xdr:colOff>122355</xdr:colOff>
      <xdr:row>45</xdr:row>
      <xdr:rowOff>86932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91525" y="7735757"/>
          <a:ext cx="11761905" cy="200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47</xdr:row>
      <xdr:rowOff>19050</xdr:rowOff>
    </xdr:from>
    <xdr:to>
      <xdr:col>34</xdr:col>
      <xdr:colOff>389595</xdr:colOff>
      <xdr:row>55</xdr:row>
      <xdr:rowOff>28355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10575" y="10106025"/>
          <a:ext cx="7438095" cy="1761905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59</xdr:row>
      <xdr:rowOff>0</xdr:rowOff>
    </xdr:from>
    <xdr:to>
      <xdr:col>26</xdr:col>
      <xdr:colOff>18762</xdr:colOff>
      <xdr:row>60</xdr:row>
      <xdr:rowOff>38068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34450" y="12715875"/>
          <a:ext cx="2304762" cy="2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noFill/>
        </a:ln>
      </a:spPr>
      <a:bodyPr vertOverflow="clip" horzOverflow="clip" wrap="square" rtlCol="0" anchor="ctr"/>
      <a:lstStyle>
        <a:defPPr algn="ctr">
          <a:defRPr sz="1100" b="0" i="0" u="none" strike="noStrike">
            <a:solidFill>
              <a:srgbClr val="000000"/>
            </a:solidFill>
            <a:latin typeface="맑은 고딕"/>
            <a:ea typeface="맑은 고딕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7.xml"/><Relationship Id="rId21" Type="http://schemas.openxmlformats.org/officeDocument/2006/relationships/ctrlProp" Target="../ctrlProps/ctrlProp12.xml"/><Relationship Id="rId34" Type="http://schemas.openxmlformats.org/officeDocument/2006/relationships/ctrlProp" Target="../ctrlProps/ctrlProp25.xml"/><Relationship Id="rId42" Type="http://schemas.openxmlformats.org/officeDocument/2006/relationships/ctrlProp" Target="../ctrlProps/ctrlProp33.xml"/><Relationship Id="rId47" Type="http://schemas.openxmlformats.org/officeDocument/2006/relationships/ctrlProp" Target="../ctrlProps/ctrlProp38.xml"/><Relationship Id="rId50" Type="http://schemas.openxmlformats.org/officeDocument/2006/relationships/ctrlProp" Target="../ctrlProps/ctrlProp41.xml"/><Relationship Id="rId55" Type="http://schemas.openxmlformats.org/officeDocument/2006/relationships/ctrlProp" Target="../ctrlProps/ctrlProp46.xml"/><Relationship Id="rId63" Type="http://schemas.openxmlformats.org/officeDocument/2006/relationships/ctrlProp" Target="../ctrlProps/ctrlProp54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29" Type="http://schemas.openxmlformats.org/officeDocument/2006/relationships/ctrlProp" Target="../ctrlProps/ctrlProp20.xml"/><Relationship Id="rId11" Type="http://schemas.openxmlformats.org/officeDocument/2006/relationships/ctrlProp" Target="../ctrlProps/ctrlProp2.xml"/><Relationship Id="rId24" Type="http://schemas.openxmlformats.org/officeDocument/2006/relationships/ctrlProp" Target="../ctrlProps/ctrlProp15.xml"/><Relationship Id="rId32" Type="http://schemas.openxmlformats.org/officeDocument/2006/relationships/ctrlProp" Target="../ctrlProps/ctrlProp23.xml"/><Relationship Id="rId37" Type="http://schemas.openxmlformats.org/officeDocument/2006/relationships/ctrlProp" Target="../ctrlProps/ctrlProp28.xml"/><Relationship Id="rId40" Type="http://schemas.openxmlformats.org/officeDocument/2006/relationships/ctrlProp" Target="../ctrlProps/ctrlProp31.xml"/><Relationship Id="rId45" Type="http://schemas.openxmlformats.org/officeDocument/2006/relationships/ctrlProp" Target="../ctrlProps/ctrlProp36.xml"/><Relationship Id="rId53" Type="http://schemas.openxmlformats.org/officeDocument/2006/relationships/ctrlProp" Target="../ctrlProps/ctrlProp44.xml"/><Relationship Id="rId58" Type="http://schemas.openxmlformats.org/officeDocument/2006/relationships/ctrlProp" Target="../ctrlProps/ctrlProp49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52.xml"/><Relationship Id="rId19" Type="http://schemas.openxmlformats.org/officeDocument/2006/relationships/ctrlProp" Target="../ctrlProps/ctrlProp10.xml"/><Relationship Id="rId14" Type="http://schemas.openxmlformats.org/officeDocument/2006/relationships/ctrlProp" Target="../ctrlProps/ctrlProp5.xml"/><Relationship Id="rId22" Type="http://schemas.openxmlformats.org/officeDocument/2006/relationships/ctrlProp" Target="../ctrlProps/ctrlProp13.xml"/><Relationship Id="rId27" Type="http://schemas.openxmlformats.org/officeDocument/2006/relationships/ctrlProp" Target="../ctrlProps/ctrlProp18.xml"/><Relationship Id="rId30" Type="http://schemas.openxmlformats.org/officeDocument/2006/relationships/ctrlProp" Target="../ctrlProps/ctrlProp21.xml"/><Relationship Id="rId35" Type="http://schemas.openxmlformats.org/officeDocument/2006/relationships/ctrlProp" Target="../ctrlProps/ctrlProp26.xml"/><Relationship Id="rId43" Type="http://schemas.openxmlformats.org/officeDocument/2006/relationships/ctrlProp" Target="../ctrlProps/ctrlProp34.xml"/><Relationship Id="rId48" Type="http://schemas.openxmlformats.org/officeDocument/2006/relationships/ctrlProp" Target="../ctrlProps/ctrlProp39.xml"/><Relationship Id="rId56" Type="http://schemas.openxmlformats.org/officeDocument/2006/relationships/ctrlProp" Target="../ctrlProps/ctrlProp47.xml"/><Relationship Id="rId64" Type="http://schemas.openxmlformats.org/officeDocument/2006/relationships/ctrlProp" Target="../ctrlProps/ctrlProp5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4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5" Type="http://schemas.openxmlformats.org/officeDocument/2006/relationships/ctrlProp" Target="../ctrlProps/ctrlProp16.xml"/><Relationship Id="rId33" Type="http://schemas.openxmlformats.org/officeDocument/2006/relationships/ctrlProp" Target="../ctrlProps/ctrlProp24.xml"/><Relationship Id="rId38" Type="http://schemas.openxmlformats.org/officeDocument/2006/relationships/ctrlProp" Target="../ctrlProps/ctrlProp29.xml"/><Relationship Id="rId46" Type="http://schemas.openxmlformats.org/officeDocument/2006/relationships/ctrlProp" Target="../ctrlProps/ctrlProp37.xml"/><Relationship Id="rId59" Type="http://schemas.openxmlformats.org/officeDocument/2006/relationships/ctrlProp" Target="../ctrlProps/ctrlProp50.xml"/><Relationship Id="rId20" Type="http://schemas.openxmlformats.org/officeDocument/2006/relationships/ctrlProp" Target="../ctrlProps/ctrlProp11.xml"/><Relationship Id="rId41" Type="http://schemas.openxmlformats.org/officeDocument/2006/relationships/ctrlProp" Target="../ctrlProps/ctrlProp32.xml"/><Relationship Id="rId54" Type="http://schemas.openxmlformats.org/officeDocument/2006/relationships/ctrlProp" Target="../ctrlProps/ctrlProp45.xml"/><Relationship Id="rId62" Type="http://schemas.openxmlformats.org/officeDocument/2006/relationships/ctrlProp" Target="../ctrlProps/ctrlProp5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6.xml"/><Relationship Id="rId23" Type="http://schemas.openxmlformats.org/officeDocument/2006/relationships/ctrlProp" Target="../ctrlProps/ctrlProp14.xml"/><Relationship Id="rId28" Type="http://schemas.openxmlformats.org/officeDocument/2006/relationships/ctrlProp" Target="../ctrlProps/ctrlProp19.xml"/><Relationship Id="rId36" Type="http://schemas.openxmlformats.org/officeDocument/2006/relationships/ctrlProp" Target="../ctrlProps/ctrlProp27.xml"/><Relationship Id="rId49" Type="http://schemas.openxmlformats.org/officeDocument/2006/relationships/ctrlProp" Target="../ctrlProps/ctrlProp40.xml"/><Relationship Id="rId57" Type="http://schemas.openxmlformats.org/officeDocument/2006/relationships/ctrlProp" Target="../ctrlProps/ctrlProp48.xml"/><Relationship Id="rId10" Type="http://schemas.openxmlformats.org/officeDocument/2006/relationships/ctrlProp" Target="../ctrlProps/ctrlProp1.xml"/><Relationship Id="rId31" Type="http://schemas.openxmlformats.org/officeDocument/2006/relationships/ctrlProp" Target="../ctrlProps/ctrlProp22.xml"/><Relationship Id="rId44" Type="http://schemas.openxmlformats.org/officeDocument/2006/relationships/ctrlProp" Target="../ctrlProps/ctrlProp35.xml"/><Relationship Id="rId52" Type="http://schemas.openxmlformats.org/officeDocument/2006/relationships/ctrlProp" Target="../ctrlProps/ctrlProp43.xml"/><Relationship Id="rId60" Type="http://schemas.openxmlformats.org/officeDocument/2006/relationships/ctrlProp" Target="../ctrlProps/ctrlProp51.xml"/><Relationship Id="rId65" Type="http://schemas.openxmlformats.org/officeDocument/2006/relationships/ctrlProp" Target="../ctrlProps/ctrlProp5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9" Type="http://schemas.openxmlformats.org/officeDocument/2006/relationships/ctrlProp" Target="../ctrlProps/ctrlProp3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K964"/>
  <sheetViews>
    <sheetView tabSelected="1" zoomScaleNormal="100" workbookViewId="0"/>
  </sheetViews>
  <sheetFormatPr defaultColWidth="9" defaultRowHeight="15"/>
  <cols>
    <col min="1" max="1" width="6.140625" style="70" bestFit="1" customWidth="1"/>
    <col min="2" max="2" width="25" style="5" customWidth="1"/>
    <col min="3" max="30" width="5.7109375" style="5" customWidth="1"/>
    <col min="31" max="33" width="10.5703125" style="5" customWidth="1"/>
    <col min="34" max="34" width="9" style="5" customWidth="1"/>
    <col min="35" max="53" width="8.5703125" style="2" customWidth="1"/>
    <col min="54" max="60" width="9" style="5"/>
    <col min="61" max="62" width="9" style="2"/>
    <col min="63" max="16384" width="9" style="5"/>
  </cols>
  <sheetData>
    <row r="1" spans="1:245" ht="12" customHeight="1" thickBot="1">
      <c r="B1" s="2"/>
      <c r="D1" s="9">
        <v>3</v>
      </c>
      <c r="E1" s="9" t="e">
        <f>VLOOKUP(D7,hare!$C$3:$E$102,3,0)</f>
        <v>#N/A</v>
      </c>
      <c r="F1" s="9" t="e">
        <f>VLOOKUP(D7,hare!$C$3:$F$102,4,0)</f>
        <v>#N/A</v>
      </c>
      <c r="G1" s="9"/>
      <c r="H1" s="9">
        <f>VLOOKUP(G7,hare!$C$3:$E$102,3,0)</f>
        <v>20</v>
      </c>
      <c r="I1" s="9">
        <f>VLOOKUP(G7,hare!$C$3:$F$102,4,0)</f>
        <v>0</v>
      </c>
      <c r="J1" s="9"/>
      <c r="K1" s="9">
        <f>VLOOKUP(J7,hare!$C$3:$E$102,3,0)</f>
        <v>35</v>
      </c>
      <c r="L1" s="9">
        <f>VLOOKUP(J7,hare!$C$3:$F$102,4,0)</f>
        <v>0</v>
      </c>
      <c r="M1" s="9"/>
      <c r="N1" s="9" t="e">
        <f>VLOOKUP(M7,hare!$C$3:$E$102,3,0)</f>
        <v>#N/A</v>
      </c>
      <c r="O1" s="9" t="e">
        <f>VLOOKUP(M7,hare!$C$3:$F$102,4,0)</f>
        <v>#N/A</v>
      </c>
      <c r="P1" s="9"/>
      <c r="Q1" s="9" t="e">
        <f>VLOOKUP(P7,hare!$C$3:$E$102,3,0)</f>
        <v>#N/A</v>
      </c>
      <c r="R1" s="9" t="e">
        <f>VLOOKUP(P7,hare!$C$3:$F$102,4,0)</f>
        <v>#N/A</v>
      </c>
      <c r="S1" s="9"/>
      <c r="T1" s="9" t="e">
        <f>VLOOKUP(S7,hare!$C$3:$E$102,3,0)</f>
        <v>#N/A</v>
      </c>
      <c r="U1" s="9" t="e">
        <f>VLOOKUP(S7,hare!$C$3:$F$102,4,0)</f>
        <v>#N/A</v>
      </c>
      <c r="V1" s="9"/>
      <c r="W1" s="9" t="e">
        <f>VLOOKUP(V7,hare!$C$3:$E$102,3,0)</f>
        <v>#N/A</v>
      </c>
      <c r="X1" s="9" t="e">
        <f>VLOOKUP(V7,hare!$C$3:$F$102,4,0)</f>
        <v>#N/A</v>
      </c>
      <c r="Y1" s="9"/>
      <c r="Z1" s="9" t="e">
        <f>VLOOKUP(Y7,hare!$C$3:$E$102,3,0)</f>
        <v>#N/A</v>
      </c>
      <c r="AA1" s="9" t="e">
        <f>VLOOKUP(Y7,hare!$C$3:$F$102,4,0)</f>
        <v>#N/A</v>
      </c>
      <c r="AB1" s="9"/>
      <c r="AC1" s="9" t="e">
        <f>VLOOKUP(AB7,hare!$C$3:$E$102,3,0)</f>
        <v>#N/A</v>
      </c>
      <c r="AD1" s="9" t="e">
        <f>VLOOKUP(AB7,hare!$C$3:$F$102,4,0)</f>
        <v>#N/A</v>
      </c>
      <c r="BB1" s="2"/>
      <c r="BC1" s="2"/>
      <c r="BD1" s="2"/>
      <c r="BE1" s="2"/>
      <c r="BF1" s="2"/>
      <c r="BG1" s="2"/>
      <c r="BH1" s="2"/>
    </row>
    <row r="2" spans="1:245" ht="20.100000000000001" customHeight="1" thickBot="1">
      <c r="A2" s="70" t="s">
        <v>8</v>
      </c>
      <c r="B2" s="66">
        <v>0</v>
      </c>
      <c r="D2" s="91" t="s">
        <v>412</v>
      </c>
      <c r="E2" s="89"/>
      <c r="F2" s="89"/>
      <c r="G2" s="89"/>
      <c r="H2" s="89"/>
      <c r="I2" s="90"/>
      <c r="J2" s="38"/>
      <c r="K2" s="38"/>
      <c r="L2" s="38"/>
      <c r="M2" s="38"/>
      <c r="N2" s="38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90"/>
      <c r="AE2" s="2">
        <v>102401</v>
      </c>
      <c r="AF2" s="2"/>
      <c r="AG2" s="2"/>
      <c r="AH2" s="2"/>
      <c r="BB2" s="2"/>
      <c r="BC2" s="2"/>
      <c r="BD2" s="2"/>
      <c r="BE2" s="2"/>
      <c r="BF2" s="2"/>
      <c r="BG2" s="2"/>
      <c r="BH2" s="2"/>
      <c r="BK2" s="2"/>
      <c r="BL2" s="2"/>
    </row>
    <row r="3" spans="1:245" ht="20.100000000000001" customHeight="1">
      <c r="A3" s="70">
        <f>CHOOSE(A4,4,6,7,10,12,15)</f>
        <v>7</v>
      </c>
      <c r="B3" s="67" t="s">
        <v>413</v>
      </c>
      <c r="D3" s="92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6"/>
      <c r="AE3" s="2" t="s">
        <v>98</v>
      </c>
      <c r="AF3" s="2"/>
      <c r="AG3" s="2" t="b">
        <v>0</v>
      </c>
      <c r="AH3" s="2" t="b">
        <v>0</v>
      </c>
      <c r="AI3" s="2" t="b">
        <v>0</v>
      </c>
      <c r="AJ3" s="2" t="b">
        <v>0</v>
      </c>
      <c r="AK3" s="2" t="b">
        <v>0</v>
      </c>
      <c r="AL3" s="2" t="b">
        <v>0</v>
      </c>
      <c r="AM3" s="2" t="b">
        <v>0</v>
      </c>
      <c r="AN3" s="2" t="b">
        <v>0</v>
      </c>
      <c r="AO3" s="2" t="b">
        <v>0</v>
      </c>
      <c r="BB3" s="2"/>
      <c r="BC3" s="2"/>
      <c r="BD3" s="2"/>
      <c r="BE3" s="2"/>
      <c r="BF3" s="2"/>
      <c r="BG3" s="2"/>
      <c r="BH3" s="2"/>
      <c r="BK3" s="2"/>
      <c r="BL3" s="2"/>
      <c r="BM3" s="2"/>
      <c r="BN3" s="2"/>
      <c r="IK3" s="5" t="b">
        <v>1</v>
      </c>
    </row>
    <row r="4" spans="1:245" ht="12" customHeight="1" thickBot="1">
      <c r="A4" s="70">
        <v>3</v>
      </c>
      <c r="B4" s="28"/>
      <c r="D4" s="92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6"/>
      <c r="AE4" s="2"/>
      <c r="AF4" s="2" t="s">
        <v>99</v>
      </c>
      <c r="AG4" s="2"/>
      <c r="AH4" s="2"/>
      <c r="BB4" s="2"/>
      <c r="BC4" s="2"/>
      <c r="BD4" s="2"/>
      <c r="BE4" s="2"/>
      <c r="BF4" s="2"/>
      <c r="BG4" s="2"/>
      <c r="BH4" s="2"/>
    </row>
    <row r="5" spans="1:245" ht="15.95" customHeight="1" thickBot="1">
      <c r="A5" s="70" t="b">
        <v>0</v>
      </c>
      <c r="B5" s="79" t="s">
        <v>129</v>
      </c>
      <c r="D5" s="94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  <c r="AC5" s="95"/>
      <c r="AD5" s="97"/>
      <c r="AE5" s="2"/>
      <c r="AF5" s="2"/>
      <c r="AG5" s="2"/>
      <c r="AH5" s="2"/>
      <c r="AJ5" s="2" t="s">
        <v>256</v>
      </c>
      <c r="AL5" s="2">
        <v>-1.7</v>
      </c>
      <c r="AM5" s="2">
        <v>-0.09</v>
      </c>
      <c r="AO5" s="2">
        <v>-1.7</v>
      </c>
      <c r="AP5" s="2">
        <v>-0.09</v>
      </c>
      <c r="BB5" s="2"/>
      <c r="BC5" s="2"/>
      <c r="BD5" s="2"/>
      <c r="BE5" s="2"/>
      <c r="BF5" s="2"/>
      <c r="BG5" s="2"/>
      <c r="BH5" s="2"/>
    </row>
    <row r="6" spans="1:245" ht="15.75" thickBot="1">
      <c r="A6" s="70" t="b">
        <v>1</v>
      </c>
      <c r="B6" s="80"/>
      <c r="D6" s="39" t="s">
        <v>116</v>
      </c>
      <c r="E6" s="40"/>
      <c r="F6" s="41"/>
      <c r="G6" s="39" t="s">
        <v>117</v>
      </c>
      <c r="H6" s="40"/>
      <c r="I6" s="41"/>
      <c r="J6" s="39" t="s">
        <v>118</v>
      </c>
      <c r="K6" s="40"/>
      <c r="L6" s="41"/>
      <c r="M6" s="39" t="s">
        <v>119</v>
      </c>
      <c r="N6" s="40"/>
      <c r="O6" s="41"/>
      <c r="P6" s="39" t="s">
        <v>120</v>
      </c>
      <c r="Q6" s="40"/>
      <c r="R6" s="41"/>
      <c r="S6" s="39" t="s">
        <v>121</v>
      </c>
      <c r="T6" s="40"/>
      <c r="U6" s="41"/>
      <c r="V6" s="39" t="s">
        <v>122</v>
      </c>
      <c r="W6" s="40"/>
      <c r="X6" s="41"/>
      <c r="Y6" s="39" t="s">
        <v>123</v>
      </c>
      <c r="Z6" s="40"/>
      <c r="AA6" s="41"/>
      <c r="AB6" s="42" t="s">
        <v>124</v>
      </c>
      <c r="AC6" s="43"/>
      <c r="AD6" s="44"/>
      <c r="AE6" s="2"/>
      <c r="AF6" s="2" t="s">
        <v>100</v>
      </c>
      <c r="AG6" s="2"/>
      <c r="AH6" s="2"/>
      <c r="AJ6" s="2" t="s">
        <v>107</v>
      </c>
      <c r="AL6" s="2">
        <f>AL5+2.4</f>
        <v>0.7</v>
      </c>
      <c r="AM6" s="2">
        <f>AM5+4.2</f>
        <v>4.1100000000000003</v>
      </c>
      <c r="AO6" s="2">
        <f>AO5+2.4</f>
        <v>0.7</v>
      </c>
      <c r="AP6" s="2">
        <f>AP5+4.2</f>
        <v>4.1100000000000003</v>
      </c>
      <c r="BB6" s="2"/>
      <c r="BC6" s="2"/>
      <c r="BD6" s="2"/>
      <c r="BE6" s="2"/>
      <c r="BF6" s="2"/>
      <c r="BG6" s="2"/>
      <c r="BH6" s="2"/>
    </row>
    <row r="7" spans="1:245" ht="15.75" thickBot="1">
      <c r="A7" s="70" t="b">
        <v>1</v>
      </c>
      <c r="B7" s="81"/>
      <c r="D7" s="45"/>
      <c r="E7" s="46"/>
      <c r="F7" s="47"/>
      <c r="G7" s="45" t="s">
        <v>164</v>
      </c>
      <c r="H7" s="46"/>
      <c r="I7" s="47" t="b">
        <v>0</v>
      </c>
      <c r="J7" s="45" t="s">
        <v>405</v>
      </c>
      <c r="K7" s="46"/>
      <c r="L7" s="47" t="b">
        <v>0</v>
      </c>
      <c r="M7" s="45"/>
      <c r="N7" s="46"/>
      <c r="O7" s="47"/>
      <c r="P7" s="45"/>
      <c r="Q7" s="46"/>
      <c r="R7" s="47"/>
      <c r="S7" s="45"/>
      <c r="T7" s="46"/>
      <c r="U7" s="47"/>
      <c r="V7" s="45"/>
      <c r="W7" s="46"/>
      <c r="X7" s="47"/>
      <c r="Y7" s="45"/>
      <c r="Z7" s="46"/>
      <c r="AA7" s="47"/>
      <c r="AB7" s="45"/>
      <c r="AC7" s="46"/>
      <c r="AD7" s="14"/>
      <c r="AE7" s="2"/>
      <c r="AF7" s="2"/>
      <c r="AG7" s="2"/>
      <c r="AH7" s="2"/>
      <c r="AJ7" s="2" t="s">
        <v>108</v>
      </c>
      <c r="AL7" s="2">
        <f>AL6+2.4</f>
        <v>3.0999999999999996</v>
      </c>
      <c r="AM7" s="2">
        <f>AM6+4.2</f>
        <v>8.31</v>
      </c>
      <c r="AO7" s="2">
        <f>AO6+2.4</f>
        <v>3.0999999999999996</v>
      </c>
      <c r="AP7" s="2">
        <f>AP6+4.2</f>
        <v>8.31</v>
      </c>
      <c r="BB7" s="2"/>
      <c r="BC7" s="2"/>
      <c r="BD7" s="2"/>
      <c r="BE7" s="2"/>
      <c r="BF7" s="2"/>
      <c r="BG7" s="2"/>
      <c r="BH7" s="2"/>
    </row>
    <row r="8" spans="1:245" ht="15.75" thickBot="1">
      <c r="A8" s="70" t="b">
        <v>1</v>
      </c>
      <c r="B8" s="77"/>
      <c r="D8" s="48" t="s">
        <v>125</v>
      </c>
      <c r="E8" s="49" t="s">
        <v>126</v>
      </c>
      <c r="F8" s="50" t="s">
        <v>127</v>
      </c>
      <c r="G8" s="48" t="s">
        <v>125</v>
      </c>
      <c r="H8" s="49" t="s">
        <v>126</v>
      </c>
      <c r="I8" s="50" t="s">
        <v>127</v>
      </c>
      <c r="J8" s="48" t="s">
        <v>125</v>
      </c>
      <c r="K8" s="49" t="s">
        <v>126</v>
      </c>
      <c r="L8" s="50" t="s">
        <v>127</v>
      </c>
      <c r="M8" s="48" t="s">
        <v>125</v>
      </c>
      <c r="N8" s="49" t="s">
        <v>126</v>
      </c>
      <c r="O8" s="50" t="s">
        <v>127</v>
      </c>
      <c r="P8" s="48" t="s">
        <v>125</v>
      </c>
      <c r="Q8" s="49" t="s">
        <v>126</v>
      </c>
      <c r="R8" s="50" t="s">
        <v>127</v>
      </c>
      <c r="S8" s="48" t="s">
        <v>125</v>
      </c>
      <c r="T8" s="49" t="s">
        <v>126</v>
      </c>
      <c r="U8" s="50" t="s">
        <v>127</v>
      </c>
      <c r="V8" s="48" t="s">
        <v>125</v>
      </c>
      <c r="W8" s="49" t="s">
        <v>126</v>
      </c>
      <c r="X8" s="50" t="s">
        <v>127</v>
      </c>
      <c r="Y8" s="48" t="s">
        <v>125</v>
      </c>
      <c r="Z8" s="49" t="s">
        <v>126</v>
      </c>
      <c r="AA8" s="50" t="s">
        <v>127</v>
      </c>
      <c r="AB8" s="48" t="s">
        <v>125</v>
      </c>
      <c r="AC8" s="49" t="s">
        <v>126</v>
      </c>
      <c r="AD8" s="50" t="s">
        <v>127</v>
      </c>
      <c r="AE8" s="2"/>
      <c r="AF8" s="2"/>
      <c r="AG8" s="2"/>
      <c r="AH8" s="2"/>
      <c r="AJ8" s="2" t="s">
        <v>378</v>
      </c>
      <c r="BB8" s="27"/>
      <c r="BC8" s="2"/>
      <c r="BD8" s="2"/>
      <c r="BE8" s="2"/>
      <c r="BF8" s="2"/>
      <c r="BG8" s="2"/>
      <c r="BH8" s="2"/>
    </row>
    <row r="9" spans="1:245" ht="15.75" thickBot="1">
      <c r="A9" s="70" t="b">
        <v>1</v>
      </c>
      <c r="B9" s="78"/>
      <c r="D9" s="51"/>
      <c r="E9" s="52"/>
      <c r="F9" s="53"/>
      <c r="G9" s="54"/>
      <c r="H9" s="55"/>
      <c r="I9" s="56"/>
      <c r="J9" s="54"/>
      <c r="K9" s="55"/>
      <c r="L9" s="56"/>
      <c r="M9" s="54"/>
      <c r="N9" s="55"/>
      <c r="O9" s="56"/>
      <c r="P9" s="57"/>
      <c r="Q9" s="55"/>
      <c r="R9" s="56"/>
      <c r="S9" s="57"/>
      <c r="T9" s="55"/>
      <c r="U9" s="56"/>
      <c r="V9" s="57"/>
      <c r="W9" s="55"/>
      <c r="X9" s="56"/>
      <c r="Y9" s="57"/>
      <c r="Z9" s="55"/>
      <c r="AA9" s="56"/>
      <c r="AB9" s="57"/>
      <c r="AC9" s="55"/>
      <c r="AD9" s="56"/>
      <c r="AE9" s="2" t="s">
        <v>101</v>
      </c>
      <c r="AF9" s="2"/>
      <c r="AG9" s="2"/>
      <c r="AH9" s="2"/>
      <c r="BB9" s="2"/>
      <c r="BC9" s="2"/>
      <c r="BD9" s="2"/>
      <c r="BE9" s="2"/>
      <c r="BF9" s="2"/>
      <c r="BG9" s="2"/>
      <c r="BH9" s="2"/>
    </row>
    <row r="10" spans="1:245" ht="15.75" thickBot="1">
      <c r="A10" s="70" t="b">
        <v>1</v>
      </c>
      <c r="B10" s="78"/>
      <c r="D10" s="51"/>
      <c r="E10" s="52"/>
      <c r="F10" s="53"/>
      <c r="G10" s="54"/>
      <c r="H10" s="55"/>
      <c r="I10" s="56"/>
      <c r="J10" s="54"/>
      <c r="K10" s="55"/>
      <c r="L10" s="56"/>
      <c r="M10" s="54"/>
      <c r="N10" s="55"/>
      <c r="O10" s="56"/>
      <c r="P10" s="57"/>
      <c r="Q10" s="55"/>
      <c r="R10" s="56"/>
      <c r="S10" s="57"/>
      <c r="T10" s="55"/>
      <c r="U10" s="56"/>
      <c r="V10" s="57"/>
      <c r="W10" s="55"/>
      <c r="X10" s="56"/>
      <c r="Y10" s="57"/>
      <c r="Z10" s="55"/>
      <c r="AA10" s="56"/>
      <c r="AB10" s="57"/>
      <c r="AC10" s="55"/>
      <c r="AD10" s="56"/>
      <c r="AG10" s="2"/>
      <c r="AH10" s="2"/>
      <c r="AL10" s="2">
        <f>IF(A6,IF($A$17,-3,AL5),-10)</f>
        <v>-3</v>
      </c>
      <c r="AM10" s="2">
        <f>IF(A17,-3,AM5)</f>
        <v>-3</v>
      </c>
      <c r="AN10" s="2" t="s">
        <v>3</v>
      </c>
      <c r="AO10" s="2">
        <f>IF(A6,IF($A$17,$AO$5,-3),-10)</f>
        <v>-1.7</v>
      </c>
      <c r="AP10" s="2">
        <f>IF($A$17,$AP$5,-3)</f>
        <v>-0.09</v>
      </c>
      <c r="AR10" s="2">
        <f>(AO5+AO5-1.5+AO5-1.5)/3</f>
        <v>-2.7000000000000006</v>
      </c>
      <c r="AS10" s="2">
        <f>(AP5+AP5-1+AP5+1)/3</f>
        <v>-9.0000000000000011E-2</v>
      </c>
      <c r="BB10" s="27"/>
      <c r="BC10" s="2"/>
      <c r="BD10" s="2"/>
      <c r="BE10" s="2"/>
      <c r="BF10" s="2"/>
      <c r="BG10" s="2"/>
      <c r="BH10" s="2"/>
    </row>
    <row r="11" spans="1:245">
      <c r="A11" s="70" t="b">
        <v>1</v>
      </c>
      <c r="B11" s="78"/>
      <c r="D11" s="51"/>
      <c r="E11" s="52"/>
      <c r="F11" s="53"/>
      <c r="G11" s="54"/>
      <c r="H11" s="55"/>
      <c r="I11" s="56"/>
      <c r="J11" s="54"/>
      <c r="K11" s="55"/>
      <c r="L11" s="56"/>
      <c r="M11" s="54"/>
      <c r="N11" s="55"/>
      <c r="O11" s="56"/>
      <c r="P11" s="57"/>
      <c r="Q11" s="55"/>
      <c r="R11" s="56"/>
      <c r="S11" s="57"/>
      <c r="T11" s="55"/>
      <c r="U11" s="56"/>
      <c r="V11" s="57"/>
      <c r="W11" s="55"/>
      <c r="X11" s="56"/>
      <c r="Y11" s="57"/>
      <c r="Z11" s="55"/>
      <c r="AA11" s="56"/>
      <c r="AB11" s="57"/>
      <c r="AC11" s="55"/>
      <c r="AD11" s="56"/>
      <c r="AG11" s="2"/>
      <c r="AH11" s="2"/>
      <c r="AJ11" s="6"/>
      <c r="AL11" s="2">
        <f>IF(A9,IF($A$17,-3,AL5),-10)</f>
        <v>-3</v>
      </c>
      <c r="AM11" s="2">
        <f>IF(A17,-3,AM6)</f>
        <v>-3</v>
      </c>
      <c r="AO11" s="2">
        <f>IF(A9,IF($A$17,$AO$5,-3),-10)</f>
        <v>-1.7</v>
      </c>
      <c r="AP11" s="2">
        <f>IF($A$17,$AP$6,-3)</f>
        <v>4.1100000000000003</v>
      </c>
      <c r="AR11" s="2">
        <f>(AO6+AO6-1.5+AO6-1.5)/3</f>
        <v>-0.30000000000000004</v>
      </c>
      <c r="AS11" s="2">
        <f>(AP6+AP6-1+AP6+1)/3</f>
        <v>4.1100000000000003</v>
      </c>
      <c r="BB11" s="2"/>
      <c r="BC11" s="2"/>
      <c r="BD11" s="2"/>
      <c r="BE11" s="2"/>
      <c r="BF11" s="2"/>
      <c r="BG11" s="2"/>
      <c r="BH11" s="2"/>
    </row>
    <row r="12" spans="1:245">
      <c r="A12" s="70" t="b">
        <v>1</v>
      </c>
      <c r="B12" s="78"/>
      <c r="D12" s="51"/>
      <c r="E12" s="52"/>
      <c r="F12" s="53"/>
      <c r="G12" s="54"/>
      <c r="H12" s="55"/>
      <c r="I12" s="56"/>
      <c r="J12" s="54"/>
      <c r="K12" s="55"/>
      <c r="L12" s="56"/>
      <c r="M12" s="54"/>
      <c r="N12" s="55"/>
      <c r="O12" s="56"/>
      <c r="P12" s="57"/>
      <c r="Q12" s="55"/>
      <c r="R12" s="56"/>
      <c r="S12" s="57"/>
      <c r="T12" s="55"/>
      <c r="U12" s="56"/>
      <c r="V12" s="57"/>
      <c r="W12" s="55"/>
      <c r="X12" s="56"/>
      <c r="Y12" s="57"/>
      <c r="Z12" s="55"/>
      <c r="AA12" s="56"/>
      <c r="AB12" s="57"/>
      <c r="AC12" s="55"/>
      <c r="AD12" s="56"/>
      <c r="AG12" s="2"/>
      <c r="AH12" s="2"/>
      <c r="AJ12" s="6"/>
      <c r="AL12" s="2">
        <f>IF(A12,IF($A$17,-3,AL5),-10)</f>
        <v>-3</v>
      </c>
      <c r="AM12" s="2">
        <f>IF(A17,-3,AM7)</f>
        <v>-3</v>
      </c>
      <c r="AO12" s="2">
        <f>IF(A12,IF($A$17,$AO$5,-3),-10)</f>
        <v>-1.7</v>
      </c>
      <c r="AP12" s="2">
        <f>IF($A$17,$AP$7,-3)</f>
        <v>8.31</v>
      </c>
      <c r="AR12" s="2">
        <f>(AO7+AO7-1.5+AO7-1.5)/3</f>
        <v>2.0999999999999996</v>
      </c>
      <c r="AS12" s="2">
        <f>(AP7+AP7-1+AP7+1)/3</f>
        <v>8.31</v>
      </c>
      <c r="BB12" s="2"/>
      <c r="BC12" s="2"/>
      <c r="BD12" s="2"/>
      <c r="BE12" s="2"/>
      <c r="BF12" s="2"/>
      <c r="BG12" s="2"/>
      <c r="BH12" s="2"/>
    </row>
    <row r="13" spans="1:245">
      <c r="A13" s="70" t="b">
        <v>1</v>
      </c>
      <c r="B13" s="78"/>
      <c r="D13" s="51"/>
      <c r="E13" s="52"/>
      <c r="F13" s="53"/>
      <c r="G13" s="54"/>
      <c r="H13" s="55"/>
      <c r="I13" s="56"/>
      <c r="J13" s="54"/>
      <c r="K13" s="55"/>
      <c r="L13" s="56"/>
      <c r="M13" s="54"/>
      <c r="N13" s="55"/>
      <c r="O13" s="56"/>
      <c r="P13" s="57"/>
      <c r="Q13" s="55"/>
      <c r="R13" s="56"/>
      <c r="S13" s="57"/>
      <c r="T13" s="55"/>
      <c r="U13" s="56"/>
      <c r="V13" s="57"/>
      <c r="W13" s="55"/>
      <c r="X13" s="56"/>
      <c r="Y13" s="57"/>
      <c r="Z13" s="55"/>
      <c r="AA13" s="56"/>
      <c r="AB13" s="57"/>
      <c r="AC13" s="55"/>
      <c r="AD13" s="56"/>
      <c r="AG13" s="2"/>
      <c r="AH13" s="2"/>
      <c r="AJ13" s="6"/>
      <c r="AL13" s="2">
        <f>IF(A7,IF(A17,-3,AL6),-10)</f>
        <v>-3</v>
      </c>
      <c r="AM13" s="2">
        <f>IF(A17,-3,AM5)</f>
        <v>-3</v>
      </c>
      <c r="AO13" s="2">
        <f>IF(A7,IF($A$17,$AO$6,-3),-10)</f>
        <v>0.7</v>
      </c>
      <c r="AP13" s="2">
        <f>IF($A$17,$AP$5,-3)</f>
        <v>-0.09</v>
      </c>
      <c r="AR13" s="2">
        <v>4</v>
      </c>
      <c r="AS13" s="2">
        <v>3.91</v>
      </c>
      <c r="AT13" s="2">
        <v>3.5</v>
      </c>
      <c r="BB13" s="2"/>
      <c r="BC13" s="2"/>
      <c r="BD13" s="2"/>
      <c r="BE13" s="2"/>
      <c r="BF13" s="2"/>
      <c r="BG13" s="2"/>
      <c r="BH13" s="2"/>
    </row>
    <row r="14" spans="1:245">
      <c r="A14" s="70" t="b">
        <v>1</v>
      </c>
      <c r="B14" s="78"/>
      <c r="D14" s="51"/>
      <c r="E14" s="52"/>
      <c r="F14" s="53"/>
      <c r="G14" s="54"/>
      <c r="H14" s="55"/>
      <c r="I14" s="56"/>
      <c r="J14" s="54"/>
      <c r="K14" s="55"/>
      <c r="L14" s="56"/>
      <c r="M14" s="54"/>
      <c r="N14" s="55"/>
      <c r="O14" s="56"/>
      <c r="P14" s="57"/>
      <c r="Q14" s="55"/>
      <c r="R14" s="56"/>
      <c r="S14" s="57"/>
      <c r="T14" s="55"/>
      <c r="U14" s="56"/>
      <c r="V14" s="57"/>
      <c r="W14" s="55"/>
      <c r="X14" s="56"/>
      <c r="Y14" s="57"/>
      <c r="Z14" s="55"/>
      <c r="AA14" s="56"/>
      <c r="AB14" s="57"/>
      <c r="AC14" s="55"/>
      <c r="AD14" s="56"/>
      <c r="AG14" s="2"/>
      <c r="AH14" s="2"/>
      <c r="AL14" s="2">
        <f>IF(A10,IF(A17,-3,AL6),-10)</f>
        <v>-3</v>
      </c>
      <c r="AM14" s="2">
        <f>IF(A17,-3,AM6)</f>
        <v>-3</v>
      </c>
      <c r="AO14" s="2">
        <f>IF(A10,IF($A$17,$AO$6,-3),-10)</f>
        <v>0.7</v>
      </c>
      <c r="AP14" s="2">
        <f>IF($A$17,$AP$6,-3)</f>
        <v>4.1100000000000003</v>
      </c>
      <c r="AR14" s="2">
        <f>IF(A15,AR13,-5)</f>
        <v>-5</v>
      </c>
      <c r="AS14" s="2">
        <f>AS13</f>
        <v>3.91</v>
      </c>
      <c r="AT14" s="2" t="s">
        <v>215</v>
      </c>
      <c r="BB14" s="2"/>
      <c r="BC14" s="2"/>
      <c r="BD14" s="2"/>
      <c r="BE14" s="2"/>
      <c r="BF14" s="2"/>
      <c r="BG14" s="2"/>
      <c r="BH14" s="2"/>
    </row>
    <row r="15" spans="1:245">
      <c r="A15" s="70" t="b">
        <v>0</v>
      </c>
      <c r="B15" s="78"/>
      <c r="D15" s="51"/>
      <c r="E15" s="52"/>
      <c r="F15" s="53"/>
      <c r="G15" s="54"/>
      <c r="H15" s="55"/>
      <c r="I15" s="56"/>
      <c r="J15" s="54"/>
      <c r="K15" s="55"/>
      <c r="L15" s="56"/>
      <c r="M15" s="54"/>
      <c r="N15" s="55"/>
      <c r="O15" s="56"/>
      <c r="P15" s="57"/>
      <c r="Q15" s="55"/>
      <c r="R15" s="56"/>
      <c r="S15" s="57"/>
      <c r="T15" s="55"/>
      <c r="U15" s="56"/>
      <c r="V15" s="57"/>
      <c r="W15" s="55"/>
      <c r="X15" s="56"/>
      <c r="Y15" s="57"/>
      <c r="Z15" s="55"/>
      <c r="AA15" s="56"/>
      <c r="AB15" s="57"/>
      <c r="AC15" s="55"/>
      <c r="AD15" s="56"/>
      <c r="AG15" s="2"/>
      <c r="AH15" s="2"/>
      <c r="AL15" s="2">
        <f>IF(A13,IF(A17,-3,AL6),-10)</f>
        <v>-3</v>
      </c>
      <c r="AM15" s="2">
        <f>IF(A17,-3,AM7)</f>
        <v>-3</v>
      </c>
      <c r="AO15" s="2">
        <f>IF(A13,IF($A$17,$AO$6,-3),-10)</f>
        <v>0.7</v>
      </c>
      <c r="AP15" s="2">
        <f>IF($A$17,$AP$7,-3)</f>
        <v>8.31</v>
      </c>
      <c r="AR15" s="2">
        <f>IF(A16,AR13+0.3,-5)</f>
        <v>-5</v>
      </c>
      <c r="AS15" s="2">
        <f>AS13+3</f>
        <v>6.91</v>
      </c>
      <c r="AT15" s="2" t="s">
        <v>216</v>
      </c>
      <c r="BB15" s="2"/>
      <c r="BC15" s="2"/>
      <c r="BD15" s="2"/>
      <c r="BE15" s="2"/>
      <c r="BF15" s="2"/>
      <c r="BG15" s="2"/>
      <c r="BH15" s="2"/>
    </row>
    <row r="16" spans="1:245">
      <c r="A16" s="70" t="b">
        <v>0</v>
      </c>
      <c r="B16" s="78"/>
      <c r="D16" s="51"/>
      <c r="E16" s="52"/>
      <c r="F16" s="53"/>
      <c r="G16" s="54"/>
      <c r="H16" s="55"/>
      <c r="I16" s="56"/>
      <c r="J16" s="54"/>
      <c r="K16" s="55"/>
      <c r="L16" s="56"/>
      <c r="M16" s="54"/>
      <c r="N16" s="55"/>
      <c r="O16" s="56"/>
      <c r="P16" s="57"/>
      <c r="Q16" s="55"/>
      <c r="R16" s="56"/>
      <c r="S16" s="57"/>
      <c r="T16" s="55"/>
      <c r="U16" s="56"/>
      <c r="V16" s="57"/>
      <c r="W16" s="55"/>
      <c r="X16" s="56"/>
      <c r="Y16" s="57"/>
      <c r="Z16" s="55"/>
      <c r="AA16" s="56"/>
      <c r="AB16" s="57"/>
      <c r="AC16" s="55"/>
      <c r="AD16" s="56"/>
      <c r="AG16" s="2"/>
      <c r="AH16" s="2"/>
      <c r="AL16" s="2">
        <f>IF(A8,IF(A17,-3,AL7),-10)</f>
        <v>-3</v>
      </c>
      <c r="AM16" s="2">
        <f>IF(A17,-3,AM5)</f>
        <v>-3</v>
      </c>
      <c r="AO16" s="2">
        <f>IF(A8,IF($A$17,$AO$7,-3),-10)</f>
        <v>3.0999999999999996</v>
      </c>
      <c r="AP16" s="2">
        <f>IF($A$17,$AP$5,-3)</f>
        <v>-0.09</v>
      </c>
      <c r="AR16" s="2">
        <f>IF(A16,AR13+0.3,-5)</f>
        <v>-5</v>
      </c>
      <c r="AS16" s="2">
        <f>AS13-1.7</f>
        <v>2.21</v>
      </c>
      <c r="BB16" s="2"/>
      <c r="BC16" s="2"/>
      <c r="BD16" s="2"/>
      <c r="BE16" s="2"/>
      <c r="BF16" s="2"/>
      <c r="BG16" s="2"/>
      <c r="BH16" s="2"/>
    </row>
    <row r="17" spans="1:60" ht="12" customHeight="1" thickBot="1">
      <c r="A17" s="71" t="b">
        <v>1</v>
      </c>
      <c r="B17" s="29"/>
      <c r="C17" s="3">
        <v>1</v>
      </c>
      <c r="D17" s="98">
        <v>1</v>
      </c>
      <c r="E17" s="99" t="e">
        <f>VLOOKUP(D7,hare!$C$3:$D$102,2,0)</f>
        <v>#N/A</v>
      </c>
      <c r="F17" s="99" t="b">
        <v>0</v>
      </c>
      <c r="G17" s="98">
        <v>2</v>
      </c>
      <c r="H17" s="99">
        <f>VLOOKUP(G7,hare!$C$3:$D$102,2,0)</f>
        <v>6</v>
      </c>
      <c r="I17" s="99" t="b">
        <v>0</v>
      </c>
      <c r="J17" s="98">
        <v>3</v>
      </c>
      <c r="K17" s="99">
        <f>VLOOKUP(J7,hare!$C$3:$D$102,2,0)</f>
        <v>6</v>
      </c>
      <c r="L17" s="99" t="b">
        <v>0</v>
      </c>
      <c r="M17" s="98">
        <v>4</v>
      </c>
      <c r="N17" s="99" t="e">
        <f>VLOOKUP(M7,hare!$C$3:$D$102,2,0)</f>
        <v>#N/A</v>
      </c>
      <c r="O17" s="99" t="b">
        <v>0</v>
      </c>
      <c r="P17" s="98">
        <v>3</v>
      </c>
      <c r="Q17" s="99" t="e">
        <f>VLOOKUP(P7,hare!$C$3:$D$102,2,0)</f>
        <v>#N/A</v>
      </c>
      <c r="R17" s="99" t="b">
        <v>0</v>
      </c>
      <c r="S17" s="98">
        <v>15</v>
      </c>
      <c r="T17" s="99" t="e">
        <f>VLOOKUP(S7,hare!$C$3:$D$102,2,0)</f>
        <v>#N/A</v>
      </c>
      <c r="U17" s="99" t="b">
        <v>0</v>
      </c>
      <c r="V17" s="98">
        <v>13</v>
      </c>
      <c r="W17" s="99" t="e">
        <f>VLOOKUP(V7,hare!$C$3:$D$102,2,0)</f>
        <v>#N/A</v>
      </c>
      <c r="X17" s="99" t="b">
        <v>0</v>
      </c>
      <c r="Y17" s="98">
        <v>19</v>
      </c>
      <c r="Z17" s="99" t="e">
        <f>VLOOKUP(Y7,hare!$C$3:$D$102,2,0)</f>
        <v>#N/A</v>
      </c>
      <c r="AA17" s="99" t="b">
        <v>0</v>
      </c>
      <c r="AB17" s="98">
        <v>3</v>
      </c>
      <c r="AC17" s="99" t="e">
        <f>VLOOKUP(AB7,hare!G3:H31,2,0)</f>
        <v>#N/A</v>
      </c>
      <c r="AD17" s="4" t="b">
        <v>0</v>
      </c>
      <c r="AG17" s="2"/>
      <c r="AH17" s="2"/>
      <c r="AL17" s="2">
        <f>IF(A11,IF(A17,-3,AL7),-10)</f>
        <v>-3</v>
      </c>
      <c r="AM17" s="2">
        <f>IF(A17,-3,AM6)</f>
        <v>-3</v>
      </c>
      <c r="AO17" s="2">
        <f>IF(A11,IF($A$17,$AO$7,-3),-10)</f>
        <v>3.0999999999999996</v>
      </c>
      <c r="AP17" s="2">
        <f>IF($A$17,$AP$6,-3)</f>
        <v>4.1100000000000003</v>
      </c>
      <c r="AR17" s="2">
        <f>IF(A18,AR13,-5)</f>
        <v>-5</v>
      </c>
      <c r="AS17" s="2">
        <f>AS13+3</f>
        <v>6.91</v>
      </c>
      <c r="AT17" s="2" t="s">
        <v>217</v>
      </c>
      <c r="AU17" s="2" t="s">
        <v>218</v>
      </c>
      <c r="BB17" s="2"/>
      <c r="BC17" s="2"/>
      <c r="BD17" s="2"/>
      <c r="BE17" s="2"/>
      <c r="BF17" s="2"/>
      <c r="BG17" s="2"/>
      <c r="BH17" s="2"/>
    </row>
    <row r="18" spans="1:60" ht="24" customHeight="1">
      <c r="A18" s="70" t="b">
        <v>0</v>
      </c>
      <c r="B18" s="36" t="s">
        <v>240</v>
      </c>
      <c r="D18" s="5">
        <v>9</v>
      </c>
      <c r="G18" s="5">
        <v>2</v>
      </c>
      <c r="Z18" s="82"/>
      <c r="AA18" s="82"/>
      <c r="AB18" s="82"/>
      <c r="AC18" s="82"/>
      <c r="AG18" s="2"/>
      <c r="AH18" s="2"/>
      <c r="AL18" s="2">
        <f>IF(A14,IF(A17,-3,AL7),-10)</f>
        <v>-3</v>
      </c>
      <c r="AM18" s="2">
        <f>IF(A17,-3,AM7)</f>
        <v>-3</v>
      </c>
      <c r="AO18" s="2">
        <f>IF(A14,IF($A$17,$AO$7,-3),-10)</f>
        <v>3.0999999999999996</v>
      </c>
      <c r="AP18" s="2">
        <f>IF($A$17,$AP$7,-3)</f>
        <v>8.31</v>
      </c>
      <c r="AR18" s="2">
        <f>IF(A18,AR13,-5)</f>
        <v>-5</v>
      </c>
      <c r="AS18" s="2">
        <f>AS13-2</f>
        <v>1.9100000000000001</v>
      </c>
      <c r="AU18" s="2" t="s">
        <v>219</v>
      </c>
      <c r="BB18" s="2"/>
      <c r="BC18" s="2"/>
      <c r="BD18" s="2"/>
      <c r="BE18" s="2"/>
      <c r="BF18" s="2"/>
      <c r="BG18" s="2"/>
      <c r="BH18" s="2"/>
    </row>
    <row r="19" spans="1:60" ht="24" customHeight="1" thickBot="1">
      <c r="A19" s="70">
        <f>IF(OR(A11,A8,A14),10.79,8.79)</f>
        <v>10.79</v>
      </c>
      <c r="B19" s="37" t="s">
        <v>241</v>
      </c>
      <c r="AG19" s="2"/>
      <c r="AH19" s="2"/>
      <c r="AN19" s="2" t="s">
        <v>4</v>
      </c>
      <c r="AO19" s="2">
        <f>IF(A6,IF($A$17,$AO$5-1.5,-3),-10)</f>
        <v>-3.2</v>
      </c>
      <c r="AP19" s="2">
        <f>IF($A$17,$AP$5-1,-3)</f>
        <v>-1.0900000000000001</v>
      </c>
      <c r="BB19" s="2"/>
      <c r="BC19" s="2"/>
      <c r="BD19" s="2"/>
      <c r="BE19" s="2"/>
      <c r="BF19" s="2"/>
      <c r="BG19" s="2"/>
      <c r="BH19" s="2"/>
    </row>
    <row r="20" spans="1:60" ht="24" customHeight="1">
      <c r="A20" s="70" t="str">
        <f>CHOOSE(A24,"X-Axis","Numpad","Column","Row","Fixed","Friendly Position","Friendly Position")</f>
        <v>X-Axis</v>
      </c>
      <c r="B20" s="68">
        <v>11</v>
      </c>
      <c r="AG20" s="2"/>
      <c r="AH20" s="2"/>
      <c r="AO20" s="2">
        <f>IF(A9,IF($A$17,$AO$5-1.5,-3),-10)</f>
        <v>-3.2</v>
      </c>
      <c r="AP20" s="2">
        <f>IF($A$17,$AP$6-1,-3)</f>
        <v>3.1100000000000003</v>
      </c>
      <c r="BB20" s="2"/>
      <c r="BC20" s="2"/>
      <c r="BD20" s="2"/>
      <c r="BE20" s="2"/>
      <c r="BF20" s="2"/>
      <c r="BG20" s="2"/>
      <c r="BH20" s="2"/>
    </row>
    <row r="21" spans="1:60" ht="24" customHeight="1" thickBot="1">
      <c r="A21" s="70" t="str">
        <f>CHOOSE(A24,"Y Axis","","","","","Dummy Number","")</f>
        <v>Y Axis</v>
      </c>
      <c r="B21" s="69">
        <v>4</v>
      </c>
      <c r="AG21" s="2"/>
      <c r="AH21" s="2"/>
      <c r="AO21" s="2">
        <f>IF(A12,IF($A$17,$AO$5-1.5,-3),-10)</f>
        <v>-3.2</v>
      </c>
      <c r="AP21" s="2">
        <f>IF($A$17,$AP$7-1,-3)</f>
        <v>7.3100000000000005</v>
      </c>
      <c r="BB21" s="2"/>
      <c r="BC21" s="2"/>
      <c r="BD21" s="2"/>
      <c r="BE21" s="2"/>
      <c r="BF21" s="2"/>
      <c r="BG21" s="2"/>
      <c r="BH21" s="2"/>
    </row>
    <row r="22" spans="1:60" ht="24" customHeight="1">
      <c r="A22" s="70">
        <v>1</v>
      </c>
      <c r="B22" s="35"/>
      <c r="AG22" s="2"/>
      <c r="AH22" s="2"/>
      <c r="AO22" s="2">
        <f>IF(A7,IF($A$17,$AO$6-1.5,-3),-10)</f>
        <v>-0.8</v>
      </c>
      <c r="AP22" s="2">
        <f>IF($A$17,$AP$5-1,-3)</f>
        <v>-1.0900000000000001</v>
      </c>
      <c r="BB22" s="2"/>
      <c r="BC22" s="2"/>
      <c r="BD22" s="2"/>
      <c r="BE22" s="2"/>
      <c r="BF22" s="2"/>
      <c r="BG22" s="2"/>
      <c r="BH22" s="2"/>
    </row>
    <row r="23" spans="1:60">
      <c r="A23" s="70">
        <v>31</v>
      </c>
      <c r="B23" s="78"/>
      <c r="AG23" s="2"/>
      <c r="AH23" s="2"/>
      <c r="AO23" s="2">
        <f>IF(A10,IF($A$17,$AO$6-1.5,-3),-10)</f>
        <v>-0.8</v>
      </c>
      <c r="AP23" s="2">
        <f>IF($A$17,$AP$6-1,-3)</f>
        <v>3.1100000000000003</v>
      </c>
      <c r="BB23" s="2"/>
      <c r="BC23" s="2"/>
      <c r="BD23" s="2"/>
      <c r="BE23" s="2"/>
      <c r="BF23" s="2"/>
      <c r="BG23" s="2"/>
      <c r="BH23" s="2"/>
    </row>
    <row r="24" spans="1:60">
      <c r="A24" s="70">
        <v>1</v>
      </c>
      <c r="B24" s="78"/>
      <c r="AG24" s="2"/>
      <c r="AH24" s="2"/>
      <c r="AO24" s="2">
        <f>IF(A13,IF($A$17,$AO$6-1.5,-3),-10)</f>
        <v>-0.8</v>
      </c>
      <c r="AP24" s="2">
        <f>IF($A$17,$AP$7-1,-3)</f>
        <v>7.3100000000000005</v>
      </c>
      <c r="BB24" s="2"/>
      <c r="BC24" s="2"/>
      <c r="BD24" s="2"/>
      <c r="BE24" s="2"/>
      <c r="BF24" s="2"/>
      <c r="BG24" s="2"/>
      <c r="BH24" s="2"/>
    </row>
    <row r="25" spans="1:60">
      <c r="A25" s="70">
        <v>3</v>
      </c>
      <c r="B25" s="78"/>
      <c r="AG25" s="2"/>
      <c r="AH25" s="2"/>
      <c r="AO25" s="2">
        <f>IF(A8,IF($A$17,$AO$7-1.5,-3),-10)</f>
        <v>1.5999999999999996</v>
      </c>
      <c r="AP25" s="2">
        <f>IF($A$17,$AP$5-1,-3)</f>
        <v>-1.0900000000000001</v>
      </c>
      <c r="BB25" s="2"/>
      <c r="BC25" s="2"/>
      <c r="BD25" s="2"/>
      <c r="BE25" s="2"/>
      <c r="BF25" s="2"/>
      <c r="BG25" s="2"/>
      <c r="BH25" s="2"/>
    </row>
    <row r="26" spans="1:60">
      <c r="A26" s="70" t="str">
        <f>VLOOKUP(A23,hare!AB2:AD50,3,0)</f>
        <v>1</v>
      </c>
      <c r="B26" s="78"/>
      <c r="AG26" s="2"/>
      <c r="AH26" s="2"/>
      <c r="AO26" s="2">
        <f>IF(A11,IF($A$17,$AO$7-1.5,-3),-10)</f>
        <v>1.5999999999999996</v>
      </c>
      <c r="AP26" s="2">
        <f>IF($A$17,$AP$6-1,-3)</f>
        <v>3.1100000000000003</v>
      </c>
      <c r="BB26" s="2"/>
      <c r="BC26" s="2"/>
      <c r="BD26" s="2"/>
      <c r="BE26" s="2"/>
    </row>
    <row r="27" spans="1:60">
      <c r="B27" s="78"/>
      <c r="AG27" s="2"/>
      <c r="AH27" s="2"/>
      <c r="AO27" s="2">
        <f>IF(A14,IF($A$17,$AO$7-1.5,-3),-10)</f>
        <v>1.5999999999999996</v>
      </c>
      <c r="AP27" s="2">
        <f>IF($A$17,$AP$7-1,-3)</f>
        <v>7.3100000000000005</v>
      </c>
      <c r="BB27" s="2"/>
      <c r="BC27" s="2"/>
    </row>
    <row r="28" spans="1:60">
      <c r="A28" s="73"/>
      <c r="B28" s="78"/>
      <c r="AG28" s="2"/>
      <c r="AH28" s="2"/>
      <c r="AN28" s="2" t="s">
        <v>5</v>
      </c>
      <c r="AO28" s="2">
        <f>IF(A6,IF($A$17,$AO$5-1.5,-3),-10)</f>
        <v>-3.2</v>
      </c>
      <c r="AP28" s="2">
        <f>IF($A$17,$AP$5+1,-3)</f>
        <v>0.91</v>
      </c>
      <c r="BB28" s="2"/>
      <c r="BC28" s="2"/>
    </row>
    <row r="29" spans="1:60">
      <c r="A29" s="73"/>
      <c r="B29" s="78"/>
      <c r="AG29" s="2"/>
      <c r="AH29" s="2"/>
      <c r="AO29" s="2">
        <f>IF(A9,IF($A$17,$AO$5-1.5,-3),-10)</f>
        <v>-3.2</v>
      </c>
      <c r="AP29" s="2">
        <f>IF($A$17,$AP$6+1,-3)</f>
        <v>5.1100000000000003</v>
      </c>
      <c r="BB29" s="2"/>
      <c r="BC29" s="2"/>
    </row>
    <row r="30" spans="1:60">
      <c r="A30" s="73"/>
      <c r="B30" s="78"/>
      <c r="AG30" s="2"/>
      <c r="AH30" s="2"/>
      <c r="AO30" s="2">
        <f>IF(A12,IF($A$17,$AO$5-1.5,-3),-10)</f>
        <v>-3.2</v>
      </c>
      <c r="AP30" s="2">
        <f>IF($A$17,$AP$7+1,-3)</f>
        <v>9.31</v>
      </c>
    </row>
    <row r="31" spans="1:60">
      <c r="A31" s="73"/>
      <c r="B31" s="78"/>
      <c r="AG31" s="2"/>
      <c r="AH31" s="2"/>
      <c r="AO31" s="2">
        <f>IF(A7,IF($A$17,$AO$6-1.5,-3),-10)</f>
        <v>-0.8</v>
      </c>
      <c r="AP31" s="2">
        <f>IF($A$17,$AP$5+1,-3)</f>
        <v>0.91</v>
      </c>
    </row>
    <row r="32" spans="1:60">
      <c r="B32" s="78"/>
      <c r="AG32" s="2"/>
      <c r="AH32" s="2"/>
      <c r="AO32" s="2">
        <f>IF(A10,IF($A$17,$AO$6-1.5,-3),-10)</f>
        <v>-0.8</v>
      </c>
      <c r="AP32" s="2">
        <f>IF($A$17,$AP$6+1,-3)</f>
        <v>5.1100000000000003</v>
      </c>
    </row>
    <row r="33" spans="1:60">
      <c r="D33" s="2"/>
      <c r="E33" s="2"/>
      <c r="F33" s="2"/>
      <c r="AG33" s="2"/>
      <c r="AH33" s="2"/>
      <c r="AO33" s="2">
        <f>IF(A13,IF($A$17,$AO$6-1.5,-3),-10)</f>
        <v>-0.8</v>
      </c>
      <c r="AP33" s="2">
        <f>IF($A$17,$AP$7+1,-3)</f>
        <v>9.31</v>
      </c>
    </row>
    <row r="34" spans="1:60">
      <c r="AG34" s="2"/>
      <c r="AH34" s="2"/>
      <c r="AO34" s="2">
        <f>IF(A8,IF($A$17,$AO$7-1.5,-3),-10)</f>
        <v>1.5999999999999996</v>
      </c>
      <c r="AP34" s="2">
        <f>IF($A$17,$AP$5+1,-3)</f>
        <v>0.91</v>
      </c>
    </row>
    <row r="35" spans="1:60">
      <c r="AG35" s="2"/>
      <c r="AH35" s="2"/>
      <c r="AO35" s="2">
        <f>IF(A11,IF($A$17,$AO$7-1.5,-3),-10)</f>
        <v>1.5999999999999996</v>
      </c>
      <c r="AP35" s="2">
        <f>IF($A$17,$AP$6+1,-3)</f>
        <v>5.1100000000000003</v>
      </c>
    </row>
    <row r="36" spans="1:60" ht="30" customHeight="1">
      <c r="B36" s="86" t="s">
        <v>128</v>
      </c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6"/>
      <c r="T36" s="88" t="s">
        <v>254</v>
      </c>
      <c r="U36" s="85"/>
      <c r="V36" s="85"/>
      <c r="W36" s="85"/>
      <c r="X36" s="85"/>
      <c r="Y36" s="85"/>
      <c r="Z36" s="85"/>
      <c r="AA36" s="85"/>
      <c r="AB36" s="85"/>
      <c r="AC36" s="85"/>
      <c r="AD36" s="85"/>
      <c r="AG36" s="2"/>
      <c r="AH36" s="2"/>
      <c r="AO36" s="2">
        <f>IF(A14,IF($A$17,$AO$7-1.5,-3),-10)</f>
        <v>1.5999999999999996</v>
      </c>
      <c r="AP36" s="2">
        <f>IF($A$17,$AP$7+1,-3)</f>
        <v>9.31</v>
      </c>
    </row>
    <row r="37" spans="1:60" s="2" customFormat="1" ht="17.25" thickBot="1">
      <c r="A37" s="70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30"/>
      <c r="S37" s="20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N37" s="2" t="s">
        <v>6</v>
      </c>
      <c r="AO37" s="2">
        <f>IF(A6,IF($A$17,$AO$5-0.75,-3),-10)</f>
        <v>-2.4500000000000002</v>
      </c>
      <c r="AP37" s="2">
        <f>IF($A$17,$AP$5-0.6,-3)</f>
        <v>-0.69</v>
      </c>
      <c r="BB37" s="5"/>
      <c r="BC37" s="5"/>
      <c r="BD37" s="5"/>
      <c r="BE37" s="5"/>
      <c r="BF37" s="5"/>
      <c r="BG37" s="5"/>
      <c r="BH37" s="5"/>
    </row>
    <row r="38" spans="1:60" s="2" customFormat="1" ht="17.25" thickBot="1">
      <c r="A38" s="70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60"/>
      <c r="Q38" s="59"/>
      <c r="R38" s="32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2" t="str">
        <f>B38&amp;COUNTIF($B$38:B38,B38)</f>
        <v>0</v>
      </c>
      <c r="AF38" s="18">
        <f t="array" ref="AF38">SUMPRODUCT(MID(0&amp;AE38,LARGE(ISNUMBER(--MID(AE38,ROW($1:$50),1))*ROW($1:$50),ROW($1:$50))+1,1)*10^(ROW($1:$50)-1))</f>
        <v>0</v>
      </c>
      <c r="BB38" s="5"/>
      <c r="BC38" s="5"/>
      <c r="BD38" s="5"/>
      <c r="BE38" s="5"/>
      <c r="BF38" s="5"/>
      <c r="BG38" s="5"/>
      <c r="BH38" s="5"/>
    </row>
    <row r="39" spans="1:60" s="2" customFormat="1" ht="17.25" thickBot="1">
      <c r="A39" s="70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60"/>
      <c r="Q39" s="59"/>
      <c r="R39" s="32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2" t="str">
        <f>B39&amp;COUNTIF($B$38:B39,B39)</f>
        <v>0</v>
      </c>
      <c r="AF39" s="18">
        <f t="array" ref="AF39">SUMPRODUCT(MID(0&amp;AE39,LARGE(ISNUMBER(--MID(AE39,ROW($1:$50),1))*ROW($1:$50),ROW($1:$50))+1,1)*10^(ROW($1:$50)-1))</f>
        <v>0</v>
      </c>
      <c r="BB39" s="5"/>
      <c r="BC39" s="5"/>
      <c r="BD39" s="5"/>
      <c r="BE39" s="5"/>
      <c r="BF39" s="5"/>
      <c r="BG39" s="5"/>
      <c r="BH39" s="5"/>
    </row>
    <row r="40" spans="1:60" s="2" customFormat="1" ht="17.25" thickBot="1">
      <c r="A40" s="70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60"/>
      <c r="Q40" s="59"/>
      <c r="R40" s="32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2" t="str">
        <f>B40&amp;COUNTIF($B$38:B40,B40)</f>
        <v>0</v>
      </c>
      <c r="AF40" s="18">
        <f t="array" ref="AF40">SUMPRODUCT(MID(0&amp;AE40,LARGE(ISNUMBER(--MID(AE40,ROW($1:$50),1))*ROW($1:$50),ROW($1:$50))+1,1)*10^(ROW($1:$50)-1))</f>
        <v>0</v>
      </c>
      <c r="BB40" s="5"/>
      <c r="BC40" s="5"/>
      <c r="BD40" s="5"/>
      <c r="BE40" s="5"/>
      <c r="BF40" s="5"/>
      <c r="BG40" s="5"/>
      <c r="BH40" s="5"/>
    </row>
    <row r="41" spans="1:60" s="2" customFormat="1" ht="17.25" thickBot="1">
      <c r="A41" s="70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60"/>
      <c r="Q41" s="59"/>
      <c r="R41" s="32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2" t="str">
        <f>B41&amp;COUNTIF($B$38:B41,B41)</f>
        <v>0</v>
      </c>
      <c r="AF41" s="18">
        <f t="array" ref="AF41">SUMPRODUCT(MID(0&amp;AE41,LARGE(ISNUMBER(--MID(AE41,ROW($1:$50),1))*ROW($1:$50),ROW($1:$50))+1,1)*10^(ROW($1:$50)-1))</f>
        <v>0</v>
      </c>
      <c r="BB41" s="5"/>
      <c r="BC41" s="5"/>
      <c r="BD41" s="5"/>
      <c r="BE41" s="5"/>
      <c r="BF41" s="5"/>
      <c r="BG41" s="5"/>
      <c r="BH41" s="5"/>
    </row>
    <row r="42" spans="1:60" s="2" customFormat="1" ht="17.25" thickBot="1">
      <c r="A42" s="70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60"/>
      <c r="Q42" s="59"/>
      <c r="R42" s="32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2" t="str">
        <f>B42&amp;COUNTIF($B$38:B42,B42)</f>
        <v>0</v>
      </c>
      <c r="AF42" s="18">
        <f t="array" ref="AF42">SUMPRODUCT(MID(0&amp;AE42,LARGE(ISNUMBER(--MID(AE42,ROW($1:$50),1))*ROW($1:$50),ROW($1:$50))+1,1)*10^(ROW($1:$50)-1))</f>
        <v>0</v>
      </c>
      <c r="BB42" s="5"/>
      <c r="BC42" s="5"/>
      <c r="BD42" s="5"/>
      <c r="BE42" s="5"/>
      <c r="BF42" s="5"/>
      <c r="BG42" s="5"/>
      <c r="BH42" s="5"/>
    </row>
    <row r="43" spans="1:60" s="2" customFormat="1" ht="17.25" thickBot="1">
      <c r="A43" s="70"/>
      <c r="B43" s="59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2"/>
      <c r="Q43" s="31"/>
      <c r="R43" s="31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2" t="str">
        <f>B43&amp;COUNTIF($B$38:B43,B43)</f>
        <v>0</v>
      </c>
      <c r="AF43" s="18">
        <f t="array" ref="AF43">SUMPRODUCT(MID(0&amp;AE43,LARGE(ISNUMBER(--MID(AE43,ROW($1:$50),1))*ROW($1:$50),ROW($1:$50))+1,1)*10^(ROW($1:$50)-1))</f>
        <v>0</v>
      </c>
      <c r="BB43" s="5"/>
      <c r="BC43" s="5"/>
      <c r="BD43" s="5"/>
      <c r="BE43" s="5"/>
      <c r="BF43" s="5"/>
      <c r="BG43" s="5"/>
      <c r="BH43" s="5"/>
    </row>
    <row r="44" spans="1:60" s="2" customFormat="1" ht="17.25" thickBot="1">
      <c r="A44" s="70"/>
      <c r="B44" s="59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2"/>
      <c r="Q44" s="31"/>
      <c r="R44" s="31"/>
      <c r="S44" s="31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2" t="str">
        <f>B44&amp;COUNTIF($B$38:B44,B44)</f>
        <v>0</v>
      </c>
      <c r="AF44" s="18">
        <f t="array" ref="AF44">SUMPRODUCT(MID(0&amp;AE44,LARGE(ISNUMBER(--MID(AE44,ROW($1:$50),1))*ROW($1:$50),ROW($1:$50))+1,1)*10^(ROW($1:$50)-1))</f>
        <v>0</v>
      </c>
      <c r="BB44" s="5"/>
      <c r="BC44" s="5"/>
      <c r="BD44" s="5"/>
      <c r="BE44" s="5"/>
      <c r="BF44" s="5"/>
      <c r="BG44" s="5"/>
      <c r="BH44" s="5"/>
    </row>
    <row r="45" spans="1:60" s="2" customFormat="1" ht="17.25" thickBot="1">
      <c r="A45" s="70"/>
      <c r="B45" s="59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2"/>
      <c r="Q45" s="31"/>
      <c r="R45" s="31"/>
      <c r="S45" s="31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2" t="str">
        <f>B45&amp;COUNTIF($B$38:B45,B45)</f>
        <v>0</v>
      </c>
      <c r="AF45" s="18">
        <f t="array" ref="AF45">SUMPRODUCT(MID(0&amp;AE45,LARGE(ISNUMBER(--MID(AE45,ROW($1:$50),1))*ROW($1:$50),ROW($1:$50))+1,1)*10^(ROW($1:$50)-1))</f>
        <v>0</v>
      </c>
      <c r="BB45" s="5"/>
      <c r="BC45" s="5"/>
      <c r="BD45" s="5"/>
      <c r="BE45" s="5"/>
      <c r="BF45" s="5"/>
      <c r="BG45" s="5"/>
      <c r="BH45" s="5"/>
    </row>
    <row r="46" spans="1:60" s="2" customFormat="1" ht="17.25" customHeight="1" thickBot="1">
      <c r="A46" s="70"/>
      <c r="B46" s="59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2"/>
      <c r="Q46" s="31"/>
      <c r="R46" s="31"/>
      <c r="S46" s="31"/>
      <c r="T46" s="84" t="s">
        <v>414</v>
      </c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BB46" s="5"/>
      <c r="BC46" s="5"/>
      <c r="BD46" s="5"/>
      <c r="BE46" s="5"/>
      <c r="BF46" s="5"/>
      <c r="BG46" s="5"/>
      <c r="BH46" s="5"/>
    </row>
    <row r="47" spans="1:60" s="2" customFormat="1" ht="17.25" thickBot="1">
      <c r="A47" s="70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2"/>
      <c r="Q47" s="31"/>
      <c r="R47" s="31"/>
      <c r="S47" s="31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BB47" s="5"/>
      <c r="BC47" s="5"/>
      <c r="BD47" s="5"/>
      <c r="BE47" s="5"/>
      <c r="BF47" s="5"/>
      <c r="BG47" s="5"/>
      <c r="BH47" s="5"/>
    </row>
    <row r="48" spans="1:60" s="2" customFormat="1" ht="17.25" thickBot="1">
      <c r="A48" s="70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2"/>
      <c r="Q48" s="31"/>
      <c r="R48" s="31"/>
      <c r="S48" s="31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18" t="str">
        <f>B48&amp;COUNTIF($B$38:B48,B48)</f>
        <v>0</v>
      </c>
      <c r="AF48" s="18">
        <f t="array" ref="AF48">SUMPRODUCT(MID(0&amp;AE48,LARGE(ISNUMBER(--MID(AE48,ROW($1:$50),1))*ROW($1:$50),ROW($1:$50))+1,1)*10^(ROW($1:$50)-1))</f>
        <v>0</v>
      </c>
      <c r="BB48" s="5"/>
      <c r="BC48" s="5"/>
      <c r="BD48" s="5"/>
      <c r="BE48" s="5"/>
      <c r="BF48" s="5"/>
      <c r="BG48" s="5"/>
      <c r="BH48" s="5"/>
    </row>
    <row r="49" spans="1:60" s="2" customFormat="1" ht="17.25" thickBot="1">
      <c r="A49" s="70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2"/>
      <c r="Q49" s="31"/>
      <c r="R49" s="31"/>
      <c r="S49" s="31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18" t="str">
        <f>B49&amp;COUNTIF($B$38:B49,B49)</f>
        <v>0</v>
      </c>
      <c r="AF49" s="18">
        <f t="array" ref="AF49">SUMPRODUCT(MID(0&amp;AE49,LARGE(ISNUMBER(--MID(AE49,ROW($1:$50),1))*ROW($1:$50),ROW($1:$50))+1,1)*10^(ROW($1:$50)-1))</f>
        <v>0</v>
      </c>
      <c r="BB49" s="5"/>
      <c r="BC49" s="5"/>
      <c r="BD49" s="5"/>
      <c r="BE49" s="5"/>
      <c r="BF49" s="5"/>
      <c r="BG49" s="5"/>
      <c r="BH49" s="5"/>
    </row>
    <row r="50" spans="1:60" s="2" customFormat="1" ht="17.25" thickBot="1">
      <c r="A50" s="70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4"/>
      <c r="Q50" s="33"/>
      <c r="R50" s="33"/>
      <c r="S50" s="31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18" t="str">
        <f>B50&amp;COUNTIF($B$38:B50,B50)</f>
        <v>0</v>
      </c>
      <c r="AF50" s="18">
        <f t="array" ref="AF50">SUMPRODUCT(MID(0&amp;AE50,LARGE(ISNUMBER(--MID(AE50,ROW($1:$50),1))*ROW($1:$50),ROW($1:$50))+1,1)*10^(ROW($1:$50)-1))</f>
        <v>0</v>
      </c>
      <c r="BB50" s="5"/>
      <c r="BC50" s="5"/>
      <c r="BD50" s="5"/>
      <c r="BE50" s="5"/>
      <c r="BF50" s="5"/>
      <c r="BG50" s="5"/>
      <c r="BH50" s="5"/>
    </row>
    <row r="51" spans="1:60" s="2" customFormat="1" ht="17.25" thickBot="1">
      <c r="A51" s="70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4"/>
      <c r="Q51" s="33"/>
      <c r="R51" s="33"/>
      <c r="S51" s="31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18" t="str">
        <f>B51&amp;COUNTIF($B$38:B51,B51)</f>
        <v>0</v>
      </c>
      <c r="AF51" s="18">
        <f t="array" ref="AF51">SUMPRODUCT(MID(0&amp;AE51,LARGE(ISNUMBER(--MID(AE51,ROW($1:$50),1))*ROW($1:$50),ROW($1:$50))+1,1)*10^(ROW($1:$50)-1))</f>
        <v>0</v>
      </c>
      <c r="BB51" s="5"/>
      <c r="BC51" s="5"/>
      <c r="BD51" s="5"/>
      <c r="BE51" s="5"/>
      <c r="BF51" s="5"/>
      <c r="BG51" s="5"/>
      <c r="BH51" s="5"/>
    </row>
    <row r="52" spans="1:60" s="2" customFormat="1" ht="17.25" thickBot="1">
      <c r="A52" s="70"/>
      <c r="B52" s="23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31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18" t="str">
        <f>B52&amp;COUNTIF($B$38:B52,B52)</f>
        <v>0</v>
      </c>
      <c r="AF52" s="18">
        <f t="array" ref="AF52">SUMPRODUCT(MID(0&amp;AE52,LARGE(ISNUMBER(--MID(AE52,ROW($1:$50),1))*ROW($1:$50),ROW($1:$50))+1,1)*10^(ROW($1:$50)-1))</f>
        <v>0</v>
      </c>
      <c r="BB52" s="5"/>
      <c r="BC52" s="5"/>
      <c r="BD52" s="5"/>
      <c r="BE52" s="5"/>
      <c r="BF52" s="5"/>
      <c r="BG52" s="5"/>
      <c r="BH52" s="5"/>
    </row>
    <row r="53" spans="1:60" s="2" customFormat="1" ht="17.25" thickBot="1">
      <c r="A53" s="70"/>
      <c r="B53" s="23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31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18" t="str">
        <f>B53&amp;COUNTIF($B$38:B53,B53)</f>
        <v>0</v>
      </c>
      <c r="AF53" s="18">
        <f t="array" ref="AF53">SUMPRODUCT(MID(0&amp;AE53,LARGE(ISNUMBER(--MID(AE53,ROW($1:$50),1))*ROW($1:$50),ROW($1:$50))+1,1)*10^(ROW($1:$50)-1))</f>
        <v>0</v>
      </c>
      <c r="BB53" s="5"/>
      <c r="BC53" s="5"/>
      <c r="BD53" s="5"/>
      <c r="BE53" s="5"/>
      <c r="BF53" s="5"/>
      <c r="BG53" s="5"/>
      <c r="BH53" s="5"/>
    </row>
    <row r="54" spans="1:60" s="2" customFormat="1" ht="17.25" thickBot="1">
      <c r="A54" s="70"/>
      <c r="B54" s="23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31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18" t="str">
        <f>B54&amp;COUNTIF($B$38:B54,B54)</f>
        <v>0</v>
      </c>
      <c r="AF54" s="18">
        <f t="array" ref="AF54">SUMPRODUCT(MID(0&amp;AE54,LARGE(ISNUMBER(--MID(AE54,ROW($1:$50),1))*ROW($1:$50),ROW($1:$50))+1,1)*10^(ROW($1:$50)-1))</f>
        <v>0</v>
      </c>
      <c r="BB54" s="5"/>
      <c r="BC54" s="5"/>
      <c r="BD54" s="5"/>
      <c r="BE54" s="5"/>
      <c r="BF54" s="5"/>
      <c r="BG54" s="5"/>
      <c r="BH54" s="5"/>
    </row>
    <row r="55" spans="1:60" s="7" customFormat="1" ht="17.25" thickBot="1">
      <c r="A55" s="70"/>
      <c r="B55" s="64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61"/>
      <c r="AE55" s="18" t="str">
        <f>B55&amp;COUNTIF($B$38:B55,B55)</f>
        <v>0</v>
      </c>
      <c r="AF55" s="18">
        <f t="array" ref="AF55">SUMPRODUCT(MID(0&amp;AE55,LARGE(ISNUMBER(--MID(AE55,ROW($1:$50),1))*ROW($1:$50),ROW($1:$50))+1,1)*10^(ROW($1:$50)-1))</f>
        <v>0</v>
      </c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5"/>
      <c r="BC55" s="1"/>
      <c r="BD55" s="1"/>
      <c r="BE55" s="1"/>
      <c r="BF55" s="1"/>
      <c r="BG55" s="1"/>
      <c r="BH55" s="1"/>
    </row>
    <row r="56" spans="1:60" s="7" customFormat="1" ht="17.25" thickBot="1">
      <c r="A56" s="70"/>
      <c r="B56" s="64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61"/>
      <c r="AE56" s="18" t="str">
        <f>B56&amp;COUNTIF($B$38:B56,B56)</f>
        <v>0</v>
      </c>
      <c r="AF56" s="18">
        <f t="array" ref="AF56">SUMPRODUCT(MID(0&amp;AE56,LARGE(ISNUMBER(--MID(AE56,ROW($1:$50),1))*ROW($1:$50),ROW($1:$50))+1,1)*10^(ROW($1:$50)-1))</f>
        <v>0</v>
      </c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5"/>
      <c r="BC56" s="1"/>
      <c r="BD56" s="1"/>
      <c r="BE56" s="1"/>
      <c r="BF56" s="1"/>
      <c r="BG56" s="1"/>
      <c r="BH56" s="1"/>
    </row>
    <row r="57" spans="1:60" s="7" customFormat="1" ht="17.25" thickBot="1">
      <c r="A57" s="70"/>
      <c r="B57" s="64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61"/>
      <c r="AE57" s="18" t="str">
        <f>B57&amp;COUNTIF($B$38:B57,B57)</f>
        <v>0</v>
      </c>
      <c r="AF57" s="18">
        <f t="array" ref="AF57">SUMPRODUCT(MID(0&amp;AE57,LARGE(ISNUMBER(--MID(AE57,ROW($1:$50),1))*ROW($1:$50),ROW($1:$50))+1,1)*10^(ROW($1:$50)-1))</f>
        <v>0</v>
      </c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5"/>
      <c r="BC57" s="1"/>
      <c r="BD57" s="1"/>
      <c r="BE57" s="1"/>
      <c r="BF57" s="1"/>
      <c r="BG57" s="1"/>
      <c r="BH57" s="1"/>
    </row>
    <row r="58" spans="1:60" s="7" customFormat="1" ht="17.25" thickBot="1">
      <c r="A58" s="70"/>
      <c r="B58" s="64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61"/>
      <c r="T58" s="83" t="s">
        <v>255</v>
      </c>
      <c r="U58" s="83"/>
      <c r="V58" s="83"/>
      <c r="W58" s="83"/>
      <c r="X58" s="83"/>
      <c r="Y58" s="83"/>
      <c r="Z58" s="83"/>
      <c r="AA58" s="83"/>
      <c r="AB58" s="83"/>
      <c r="AC58" s="83"/>
      <c r="AD58" s="83"/>
      <c r="AE58" s="18" t="str">
        <f>B58&amp;COUNTIF($B$38:B58,B58)</f>
        <v>0</v>
      </c>
      <c r="AF58" s="18">
        <f t="array" ref="AF58">SUMPRODUCT(MID(0&amp;AE58,LARGE(ISNUMBER(--MID(AE58,ROW($1:$50),1))*ROW($1:$50),ROW($1:$50))+1,1)*10^(ROW($1:$50)-1))</f>
        <v>0</v>
      </c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5"/>
      <c r="BC58" s="1"/>
      <c r="BD58" s="1"/>
      <c r="BE58" s="1"/>
      <c r="BF58" s="1"/>
      <c r="BG58" s="1"/>
      <c r="BH58" s="1"/>
    </row>
    <row r="59" spans="1:60" s="7" customFormat="1" ht="17.25" thickBot="1">
      <c r="A59" s="70"/>
      <c r="B59" s="64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61"/>
      <c r="T59" s="83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E59" s="18" t="str">
        <f>B59&amp;COUNTIF($B$38:B59,B59)</f>
        <v>0</v>
      </c>
      <c r="AF59" s="18">
        <f t="array" ref="AF59">SUMPRODUCT(MID(0&amp;AE59,LARGE(ISNUMBER(--MID(AE59,ROW($1:$50),1))*ROW($1:$50),ROW($1:$50))+1,1)*10^(ROW($1:$50)-1))</f>
        <v>0</v>
      </c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5"/>
      <c r="BC59" s="1"/>
      <c r="BD59" s="1"/>
      <c r="BE59" s="1"/>
      <c r="BF59" s="1"/>
      <c r="BG59" s="1"/>
      <c r="BH59" s="1"/>
    </row>
    <row r="60" spans="1:60" s="7" customFormat="1" ht="17.25" thickBot="1">
      <c r="A60" s="70"/>
      <c r="B60" s="64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61"/>
      <c r="AE60" s="18" t="str">
        <f>B60&amp;COUNTIF($B$38:B60,B60)</f>
        <v>0</v>
      </c>
      <c r="AF60" s="18">
        <f t="array" ref="AF60">SUMPRODUCT(MID(0&amp;AE60,LARGE(ISNUMBER(--MID(AE60,ROW($1:$50),1))*ROW($1:$50),ROW($1:$50))+1,1)*10^(ROW($1:$50)-1))</f>
        <v>0</v>
      </c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5"/>
      <c r="BC60" s="1"/>
      <c r="BD60" s="1"/>
      <c r="BE60" s="1"/>
      <c r="BF60" s="1"/>
      <c r="BG60" s="1"/>
      <c r="BH60" s="1"/>
    </row>
    <row r="61" spans="1:60" s="7" customFormat="1" ht="17.25" thickBot="1">
      <c r="A61" s="70"/>
      <c r="B61" s="64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62"/>
      <c r="AE61" s="18" t="str">
        <f>B61&amp;COUNTIF($B$38:B61,B61)</f>
        <v>0</v>
      </c>
      <c r="AF61" s="18">
        <f t="array" ref="AF61">SUMPRODUCT(MID(0&amp;AE61,LARGE(ISNUMBER(--MID(AE61,ROW($1:$50),1))*ROW($1:$50),ROW($1:$50))+1,1)*10^(ROW($1:$50)-1))</f>
        <v>0</v>
      </c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5"/>
      <c r="BC61" s="1"/>
      <c r="BD61" s="1"/>
      <c r="BE61" s="1"/>
      <c r="BF61" s="1"/>
      <c r="BG61" s="1"/>
      <c r="BH61" s="1"/>
    </row>
    <row r="62" spans="1:60" s="7" customFormat="1" ht="17.25" thickBot="1">
      <c r="A62" s="70"/>
      <c r="B62" s="64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AE62" s="18" t="str">
        <f>B62&amp;COUNTIF($B$38:B62,B62)</f>
        <v>0</v>
      </c>
      <c r="AF62" s="18">
        <f t="array" ref="AF62">SUMPRODUCT(MID(0&amp;AE62,LARGE(ISNUMBER(--MID(AE62,ROW($1:$50),1))*ROW($1:$50),ROW($1:$50))+1,1)*10^(ROW($1:$50)-1))</f>
        <v>0</v>
      </c>
      <c r="AG62" s="2"/>
      <c r="AH62" s="2"/>
      <c r="AI62" s="2"/>
      <c r="AJ62" s="2"/>
      <c r="AK62" s="2"/>
      <c r="AL62" s="2"/>
      <c r="AM62" s="2"/>
      <c r="AN62" s="2"/>
      <c r="AO62" s="2">
        <f>IF(A1,IF($A$17,$AO$5-0.75,-3),-10)</f>
        <v>-10</v>
      </c>
      <c r="AP62" s="2">
        <f>IF($A$17,$AP$6-0.6,-3)</f>
        <v>3.5100000000000002</v>
      </c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5"/>
      <c r="BC62" s="1"/>
      <c r="BD62" s="1"/>
      <c r="BE62" s="1"/>
      <c r="BF62" s="1"/>
      <c r="BG62" s="1"/>
      <c r="BH62" s="1"/>
    </row>
    <row r="63" spans="1:60" s="7" customFormat="1" ht="17.25" thickBot="1">
      <c r="A63" s="70"/>
      <c r="B63" s="64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AE63" s="18" t="str">
        <f>B63&amp;COUNTIF($B$38:B63,B63)</f>
        <v>0</v>
      </c>
      <c r="AF63" s="18">
        <f t="array" ref="AF63">SUMPRODUCT(MID(0&amp;AE63,LARGE(ISNUMBER(--MID(AE63,ROW($1:$50),1))*ROW($1:$50),ROW($1:$50))+1,1)*10^(ROW($1:$50)-1))</f>
        <v>0</v>
      </c>
      <c r="AG63" s="2"/>
      <c r="AH63" s="2"/>
      <c r="AI63" s="2"/>
      <c r="AJ63" s="2"/>
      <c r="AK63" s="2"/>
      <c r="AL63" s="2"/>
      <c r="AM63" s="2"/>
      <c r="AN63" s="2"/>
      <c r="AO63" s="2">
        <f>IF(A4,IF($A$17,$AO$5-0.75,-3),-10)</f>
        <v>-2.4500000000000002</v>
      </c>
      <c r="AP63" s="2">
        <f>IF($A$17,$AP$7-0.6,-3)</f>
        <v>7.7100000000000009</v>
      </c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5"/>
      <c r="BC63" s="1"/>
      <c r="BD63" s="1"/>
      <c r="BE63" s="1"/>
      <c r="BF63" s="1"/>
      <c r="BG63" s="1"/>
      <c r="BH63" s="1"/>
    </row>
    <row r="64" spans="1:60" s="7" customFormat="1" ht="17.25" thickBot="1">
      <c r="A64" s="70"/>
      <c r="B64" s="64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AE64" s="18" t="str">
        <f>B64&amp;COUNTIF($B$38:B64,B64)</f>
        <v>0</v>
      </c>
      <c r="AF64" s="18">
        <f t="array" ref="AF64">SUMPRODUCT(MID(0&amp;AE64,LARGE(ISNUMBER(--MID(AE64,ROW($1:$50),1))*ROW($1:$50),ROW($1:$50))+1,1)*10^(ROW($1:$50)-1))</f>
        <v>0</v>
      </c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5"/>
      <c r="BC64" s="1"/>
      <c r="BD64" s="1"/>
      <c r="BE64" s="1"/>
      <c r="BF64" s="1"/>
      <c r="BG64" s="1"/>
      <c r="BH64" s="1"/>
    </row>
    <row r="65" spans="1:60" s="7" customFormat="1" ht="17.25" thickBot="1">
      <c r="A65" s="70"/>
      <c r="B65" s="64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AE65" s="18" t="str">
        <f>B65&amp;COUNTIF($B$38:B65,B65)</f>
        <v>0</v>
      </c>
      <c r="AF65" s="18">
        <f t="array" ref="AF65">SUMPRODUCT(MID(0&amp;AE65,LARGE(ISNUMBER(--MID(AE65,ROW($1:$50),1))*ROW($1:$50),ROW($1:$50))+1,1)*10^(ROW($1:$50)-1))</f>
        <v>0</v>
      </c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5"/>
      <c r="BC65" s="1"/>
      <c r="BD65" s="1"/>
      <c r="BE65" s="1"/>
      <c r="BF65" s="1"/>
      <c r="BG65" s="1"/>
      <c r="BH65" s="1"/>
    </row>
    <row r="66" spans="1:60" s="7" customFormat="1" ht="17.25" thickBot="1">
      <c r="A66" s="70"/>
      <c r="B66" s="63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AE66" s="18" t="str">
        <f>B66&amp;COUNTIF($B$38:B66,B66)</f>
        <v>0</v>
      </c>
      <c r="AF66" s="18">
        <f t="array" ref="AF66">SUMPRODUCT(MID(0&amp;AE66,LARGE(ISNUMBER(--MID(AE66,ROW($1:$50),1))*ROW($1:$50),ROW($1:$50))+1,1)*10^(ROW($1:$50)-1))</f>
        <v>0</v>
      </c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5"/>
      <c r="BC66" s="1"/>
      <c r="BD66" s="1"/>
      <c r="BE66" s="1"/>
      <c r="BF66" s="1"/>
      <c r="BG66" s="1"/>
      <c r="BH66" s="1"/>
    </row>
    <row r="67" spans="1:60" s="7" customFormat="1" ht="17.25" thickBot="1">
      <c r="A67" s="70"/>
      <c r="B67" s="63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AE67" s="18" t="str">
        <f>B67&amp;COUNTIF($B$38:B67,B67)</f>
        <v>0</v>
      </c>
      <c r="AF67" s="18">
        <f t="array" ref="AF67">SUMPRODUCT(MID(0&amp;AE67,LARGE(ISNUMBER(--MID(AE67,ROW($1:$50),1))*ROW($1:$50),ROW($1:$50))+1,1)*10^(ROW($1:$50)-1))</f>
        <v>0</v>
      </c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5"/>
      <c r="BC67" s="1"/>
      <c r="BD67" s="1"/>
      <c r="BE67" s="1"/>
      <c r="BF67" s="1"/>
      <c r="BG67" s="1"/>
      <c r="BH67" s="1"/>
    </row>
    <row r="68" spans="1:60" s="7" customFormat="1" ht="17.25" thickBot="1">
      <c r="A68" s="70"/>
      <c r="B68" s="63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AE68" s="18" t="str">
        <f>B68&amp;COUNTIF($B$38:B68,B68)</f>
        <v>0</v>
      </c>
      <c r="AF68" s="18">
        <f t="array" ref="AF68">SUMPRODUCT(MID(0&amp;AE68,LARGE(ISNUMBER(--MID(AE68,ROW($1:$50),1))*ROW($1:$50),ROW($1:$50))+1,1)*10^(ROW($1:$50)-1))</f>
        <v>0</v>
      </c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5"/>
      <c r="BC68" s="1"/>
      <c r="BD68" s="1"/>
      <c r="BE68" s="1"/>
      <c r="BF68" s="1"/>
      <c r="BG68" s="1"/>
      <c r="BH68" s="1"/>
    </row>
    <row r="69" spans="1:60" s="7" customFormat="1" ht="17.25" thickBot="1">
      <c r="A69" s="70"/>
      <c r="B69" s="63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AE69" s="18" t="str">
        <f>B69&amp;COUNTIF($B$38:B69,B69)</f>
        <v>0</v>
      </c>
      <c r="AF69" s="18">
        <f t="array" ref="AF69">SUMPRODUCT(MID(0&amp;AE69,LARGE(ISNUMBER(--MID(AE69,ROW($1:$50),1))*ROW($1:$50),ROW($1:$50))+1,1)*10^(ROW($1:$50)-1))</f>
        <v>0</v>
      </c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5"/>
      <c r="BC69" s="1"/>
      <c r="BD69" s="1"/>
      <c r="BE69" s="1"/>
      <c r="BF69" s="1"/>
      <c r="BG69" s="1"/>
      <c r="BH69" s="1"/>
    </row>
    <row r="70" spans="1:60" s="7" customFormat="1" ht="17.25" thickBot="1">
      <c r="A70" s="70"/>
      <c r="B70" s="63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AE70" s="18" t="str">
        <f>B70&amp;COUNTIF($B$38:B70,B70)</f>
        <v>0</v>
      </c>
      <c r="AF70" s="18">
        <f t="array" ref="AF70">SUMPRODUCT(MID(0&amp;AE70,LARGE(ISNUMBER(--MID(AE70,ROW($1:$50),1))*ROW($1:$50),ROW($1:$50))+1,1)*10^(ROW($1:$50)-1))</f>
        <v>0</v>
      </c>
      <c r="AG70" s="2"/>
      <c r="AH70" s="2"/>
      <c r="AI70" s="2"/>
      <c r="AJ70" s="2"/>
      <c r="AK70" s="2"/>
      <c r="AL70" s="2"/>
      <c r="AM70" s="2"/>
      <c r="AN70" s="2"/>
      <c r="AO70" s="2">
        <f>IF(A9,IF($A$17,$AO$5-0.75,-3),-10)</f>
        <v>-2.4500000000000002</v>
      </c>
      <c r="AP70" s="2">
        <f>IF($A$17,$AP$6-0.6,-3)</f>
        <v>3.5100000000000002</v>
      </c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5"/>
      <c r="BC70" s="1"/>
      <c r="BD70" s="1"/>
      <c r="BE70" s="1"/>
      <c r="BF70" s="1"/>
      <c r="BG70" s="1"/>
      <c r="BH70" s="1"/>
    </row>
    <row r="71" spans="1:60" s="7" customFormat="1" ht="17.25" thickBot="1">
      <c r="A71" s="70"/>
      <c r="B71" s="63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AE71" s="18" t="str">
        <f>B71&amp;COUNTIF($B$38:B71,B71)</f>
        <v>0</v>
      </c>
      <c r="AF71" s="18">
        <f t="array" ref="AF71">SUMPRODUCT(MID(0&amp;AE71,LARGE(ISNUMBER(--MID(AE71,ROW($1:$50),1))*ROW($1:$50),ROW($1:$50))+1,1)*10^(ROW($1:$50)-1))</f>
        <v>0</v>
      </c>
      <c r="AG71" s="2"/>
      <c r="AH71" s="2"/>
      <c r="AI71" s="2"/>
      <c r="AJ71" s="2"/>
      <c r="AK71" s="2"/>
      <c r="AL71" s="2"/>
      <c r="AM71" s="2"/>
      <c r="AN71" s="2"/>
      <c r="AO71" s="2">
        <f>IF(A12,IF($A$17,$AO$5-0.75,-3),-10)</f>
        <v>-2.4500000000000002</v>
      </c>
      <c r="AP71" s="2">
        <f>IF($A$17,$AP$7-0.6,-3)</f>
        <v>7.7100000000000009</v>
      </c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5"/>
      <c r="BC71" s="1"/>
      <c r="BD71" s="1"/>
      <c r="BE71" s="1"/>
      <c r="BF71" s="1"/>
      <c r="BG71" s="1"/>
      <c r="BH71" s="1"/>
    </row>
    <row r="72" spans="1:60" s="7" customFormat="1" ht="17.25" thickBot="1">
      <c r="A72" s="70"/>
      <c r="B72" s="63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AE72" s="18" t="str">
        <f>B72&amp;COUNTIF($B$38:B72,B72)</f>
        <v>0</v>
      </c>
      <c r="AF72" s="18">
        <f t="array" ref="AF72">SUMPRODUCT(MID(0&amp;AE72,LARGE(ISNUMBER(--MID(AE72,ROW($1:$50),1))*ROW($1:$50),ROW($1:$50))+1,1)*10^(ROW($1:$50)-1))</f>
        <v>0</v>
      </c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5"/>
      <c r="BC72" s="1"/>
      <c r="BD72" s="1"/>
      <c r="BE72" s="1"/>
      <c r="BF72" s="1"/>
      <c r="BG72" s="1"/>
      <c r="BH72" s="1"/>
    </row>
    <row r="73" spans="1:60" s="7" customFormat="1" ht="17.25" thickBot="1">
      <c r="A73" s="70"/>
      <c r="B73" s="63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AE73" s="18" t="str">
        <f>B73&amp;COUNTIF($B$38:B73,B73)</f>
        <v>0</v>
      </c>
      <c r="AF73" s="18">
        <f t="array" ref="AF73">SUMPRODUCT(MID(0&amp;AE73,LARGE(ISNUMBER(--MID(AE73,ROW($1:$50),1))*ROW($1:$50),ROW($1:$50))+1,1)*10^(ROW($1:$50)-1))</f>
        <v>0</v>
      </c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5"/>
      <c r="BC73" s="1"/>
      <c r="BD73" s="1"/>
      <c r="BE73" s="1"/>
      <c r="BF73" s="1"/>
      <c r="BG73" s="1"/>
      <c r="BH73" s="1"/>
    </row>
    <row r="74" spans="1:60" s="7" customFormat="1" ht="17.25" thickBot="1">
      <c r="A74" s="70"/>
      <c r="B74" s="63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AE74" s="18" t="str">
        <f>B74&amp;COUNTIF($B$38:B74,B74)</f>
        <v>0</v>
      </c>
      <c r="AF74" s="18">
        <f t="array" ref="AF74">SUMPRODUCT(MID(0&amp;AE74,LARGE(ISNUMBER(--MID(AE74,ROW($1:$50),1))*ROW($1:$50),ROW($1:$50))+1,1)*10^(ROW($1:$50)-1))</f>
        <v>0</v>
      </c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5"/>
      <c r="BC74" s="1"/>
      <c r="BD74" s="1"/>
      <c r="BE74" s="1"/>
      <c r="BF74" s="1"/>
      <c r="BG74" s="1"/>
      <c r="BH74" s="1"/>
    </row>
    <row r="75" spans="1:60" s="7" customFormat="1" ht="17.25" thickBot="1">
      <c r="A75" s="70"/>
      <c r="B75" s="63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AE75" s="18" t="str">
        <f>B75&amp;COUNTIF($B$38:B75,B75)</f>
        <v>0</v>
      </c>
      <c r="AF75" s="18">
        <f t="array" ref="AF75">SUMPRODUCT(MID(0&amp;AE75,LARGE(ISNUMBER(--MID(AE75,ROW($1:$50),1))*ROW($1:$50),ROW($1:$50))+1,1)*10^(ROW($1:$50)-1))</f>
        <v>0</v>
      </c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5"/>
      <c r="BC75" s="1"/>
      <c r="BD75" s="1"/>
      <c r="BE75" s="1"/>
      <c r="BF75" s="1"/>
      <c r="BG75" s="1"/>
      <c r="BH75" s="1"/>
    </row>
    <row r="76" spans="1:60" s="7" customFormat="1" ht="17.25" thickBot="1">
      <c r="A76" s="70"/>
      <c r="B76" s="63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AE76" s="18" t="str">
        <f>B76&amp;COUNTIF($B$38:B76,B76)</f>
        <v>0</v>
      </c>
      <c r="AF76" s="18">
        <f t="array" ref="AF76">SUMPRODUCT(MID(0&amp;AE76,LARGE(ISNUMBER(--MID(AE76,ROW($1:$50),1))*ROW($1:$50),ROW($1:$50))+1,1)*10^(ROW($1:$50)-1))</f>
        <v>0</v>
      </c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5"/>
      <c r="BC76" s="1"/>
      <c r="BD76" s="1"/>
      <c r="BE76" s="1"/>
      <c r="BF76" s="1"/>
      <c r="BG76" s="1"/>
      <c r="BH76" s="1"/>
    </row>
    <row r="77" spans="1:60" s="7" customFormat="1" ht="17.25" thickBot="1">
      <c r="A77" s="70"/>
      <c r="B77" s="63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AE77" s="18" t="str">
        <f>B77&amp;COUNTIF($B$38:B77,B77)</f>
        <v>0</v>
      </c>
      <c r="AF77" s="18">
        <f t="array" ref="AF77">SUMPRODUCT(MID(0&amp;AE77,LARGE(ISNUMBER(--MID(AE77,ROW($1:$50),1))*ROW($1:$50),ROW($1:$50))+1,1)*10^(ROW($1:$50)-1))</f>
        <v>0</v>
      </c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5"/>
      <c r="BC77" s="1"/>
      <c r="BD77" s="1"/>
      <c r="BE77" s="1"/>
      <c r="BF77" s="1"/>
      <c r="BG77" s="1"/>
      <c r="BH77" s="1"/>
    </row>
    <row r="78" spans="1:60" s="7" customFormat="1" ht="17.25" thickBot="1">
      <c r="A78" s="70"/>
      <c r="B78" s="63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AE78" s="18" t="str">
        <f>B78&amp;COUNTIF($B$38:B78,B78)</f>
        <v>0</v>
      </c>
      <c r="AF78" s="18">
        <f t="array" ref="AF78">SUMPRODUCT(MID(0&amp;AE78,LARGE(ISNUMBER(--MID(AE78,ROW($1:$50),1))*ROW($1:$50),ROW($1:$50))+1,1)*10^(ROW($1:$50)-1))</f>
        <v>0</v>
      </c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5"/>
      <c r="BC78" s="1"/>
      <c r="BD78" s="1"/>
      <c r="BE78" s="1"/>
      <c r="BF78" s="1"/>
      <c r="BG78" s="1"/>
      <c r="BH78" s="1"/>
    </row>
    <row r="79" spans="1:60" s="7" customFormat="1" ht="17.25" thickBot="1">
      <c r="A79" s="70"/>
      <c r="B79" s="63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AE79" s="18" t="str">
        <f>B79&amp;COUNTIF($B$38:B79,B79)</f>
        <v>0</v>
      </c>
      <c r="AF79" s="18">
        <f t="array" ref="AF79">SUMPRODUCT(MID(0&amp;AE79,LARGE(ISNUMBER(--MID(AE79,ROW($1:$50),1))*ROW($1:$50),ROW($1:$50))+1,1)*10^(ROW($1:$50)-1))</f>
        <v>0</v>
      </c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5"/>
      <c r="BC79" s="1"/>
      <c r="BD79" s="1"/>
      <c r="BE79" s="1"/>
      <c r="BF79" s="1"/>
      <c r="BG79" s="1"/>
      <c r="BH79" s="1"/>
    </row>
    <row r="80" spans="1:60" s="7" customFormat="1" ht="17.25" thickBot="1">
      <c r="A80" s="70"/>
      <c r="B80" s="63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AE80" s="18" t="str">
        <f>B80&amp;COUNTIF($B$38:B80,B80)</f>
        <v>0</v>
      </c>
      <c r="AF80" s="18">
        <f t="array" ref="AF80">SUMPRODUCT(MID(0&amp;AE80,LARGE(ISNUMBER(--MID(AE80,ROW($1:$50),1))*ROW($1:$50),ROW($1:$50))+1,1)*10^(ROW($1:$50)-1))</f>
        <v>0</v>
      </c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5"/>
      <c r="BC80" s="1"/>
      <c r="BD80" s="1"/>
      <c r="BE80" s="1"/>
      <c r="BF80" s="1"/>
      <c r="BG80" s="1"/>
      <c r="BH80" s="1"/>
    </row>
    <row r="81" spans="1:60" s="7" customFormat="1" ht="17.25" thickBot="1">
      <c r="A81" s="70"/>
      <c r="B81" s="63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AE81" s="18" t="str">
        <f>B81&amp;COUNTIF($B$38:B81,B81)</f>
        <v>0</v>
      </c>
      <c r="AF81" s="18">
        <f t="array" ref="AF81">SUMPRODUCT(MID(0&amp;AE81,LARGE(ISNUMBER(--MID(AE81,ROW($1:$50),1))*ROW($1:$50),ROW($1:$50))+1,1)*10^(ROW($1:$50)-1))</f>
        <v>0</v>
      </c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5"/>
      <c r="BC81" s="1"/>
      <c r="BD81" s="1"/>
      <c r="BE81" s="1"/>
      <c r="BF81" s="1"/>
      <c r="BG81" s="1"/>
      <c r="BH81" s="1"/>
    </row>
    <row r="82" spans="1:60" s="7" customFormat="1" ht="17.25" thickBot="1">
      <c r="A82" s="70"/>
      <c r="B82" s="65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AE82" s="18" t="str">
        <f>B82&amp;COUNTIF($B$38:B82,B82)</f>
        <v>0</v>
      </c>
      <c r="AF82" s="18">
        <f t="array" ref="AF82">SUMPRODUCT(MID(0&amp;AE82,LARGE(ISNUMBER(--MID(AE82,ROW($1:$50),1))*ROW($1:$50),ROW($1:$50))+1,1)*10^(ROW($1:$50)-1))</f>
        <v>0</v>
      </c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5"/>
      <c r="BC82" s="1"/>
      <c r="BD82" s="1"/>
      <c r="BE82" s="1"/>
      <c r="BF82" s="1"/>
      <c r="BG82" s="1"/>
      <c r="BH82" s="1"/>
    </row>
    <row r="83" spans="1:60" s="7" customFormat="1" ht="17.25" thickBot="1">
      <c r="A83" s="70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AE83" s="18" t="str">
        <f>B83&amp;COUNTIF($B$38:B83,B83)</f>
        <v>0</v>
      </c>
      <c r="AF83" s="18">
        <f t="array" ref="AF83">SUMPRODUCT(MID(0&amp;AE83,LARGE(ISNUMBER(--MID(AE83,ROW($1:$50),1))*ROW($1:$50),ROW($1:$50))+1,1)*10^(ROW($1:$50)-1))</f>
        <v>0</v>
      </c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5"/>
      <c r="BC83" s="1"/>
      <c r="BD83" s="1"/>
      <c r="BE83" s="1"/>
      <c r="BF83" s="1"/>
      <c r="BG83" s="1"/>
      <c r="BH83" s="1"/>
    </row>
    <row r="84" spans="1:60" s="7" customFormat="1" ht="17.25" thickBot="1">
      <c r="A84" s="70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AE84" s="18" t="str">
        <f>B84&amp;COUNTIF($B$38:B84,B84)</f>
        <v>0</v>
      </c>
      <c r="AF84" s="18">
        <f t="array" ref="AF84">SUMPRODUCT(MID(0&amp;AE84,LARGE(ISNUMBER(--MID(AE84,ROW($1:$50),1))*ROW($1:$50),ROW($1:$50))+1,1)*10^(ROW($1:$50)-1))</f>
        <v>0</v>
      </c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5"/>
      <c r="BC84" s="1"/>
      <c r="BD84" s="1"/>
      <c r="BE84" s="1"/>
      <c r="BF84" s="1"/>
      <c r="BG84" s="1"/>
      <c r="BH84" s="1"/>
    </row>
    <row r="85" spans="1:60" s="7" customFormat="1" ht="17.25" thickBot="1">
      <c r="A85" s="70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AE85" s="18" t="str">
        <f>B85&amp;COUNTIF($B$38:B85,B85)</f>
        <v>0</v>
      </c>
      <c r="AF85" s="18">
        <f t="array" ref="AF85">SUMPRODUCT(MID(0&amp;AE85,LARGE(ISNUMBER(--MID(AE85,ROW($1:$50),1))*ROW($1:$50),ROW($1:$50))+1,1)*10^(ROW($1:$50)-1))</f>
        <v>0</v>
      </c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5"/>
      <c r="BC85" s="1"/>
      <c r="BD85" s="1"/>
      <c r="BE85" s="1"/>
      <c r="BF85" s="1"/>
      <c r="BG85" s="1"/>
      <c r="BH85" s="1"/>
    </row>
    <row r="86" spans="1:60" s="7" customFormat="1" ht="17.25" thickBot="1">
      <c r="A86" s="70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AE86" s="18" t="str">
        <f>B86&amp;COUNTIF($B$38:B86,B86)</f>
        <v>0</v>
      </c>
      <c r="AF86" s="18">
        <f t="array" ref="AF86">SUMPRODUCT(MID(0&amp;AE86,LARGE(ISNUMBER(--MID(AE86,ROW($1:$50),1))*ROW($1:$50),ROW($1:$50))+1,1)*10^(ROW($1:$50)-1))</f>
        <v>0</v>
      </c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5"/>
      <c r="BC86" s="1"/>
      <c r="BD86" s="1"/>
      <c r="BE86" s="1"/>
      <c r="BF86" s="1"/>
      <c r="BG86" s="1"/>
      <c r="BH86" s="1"/>
    </row>
    <row r="87" spans="1:60" s="7" customFormat="1" ht="17.25" thickBot="1">
      <c r="A87" s="70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AE87" s="18" t="str">
        <f>B87&amp;COUNTIF($B$38:B87,B87)</f>
        <v>0</v>
      </c>
      <c r="AF87" s="18">
        <f t="array" ref="AF87">SUMPRODUCT(MID(0&amp;AE87,LARGE(ISNUMBER(--MID(AE87,ROW($1:$50),1))*ROW($1:$50),ROW($1:$50))+1,1)*10^(ROW($1:$50)-1))</f>
        <v>0</v>
      </c>
      <c r="AG87" s="2"/>
      <c r="AH87" s="2"/>
      <c r="AI87" s="2"/>
      <c r="AJ87" s="2"/>
      <c r="AK87" s="2"/>
      <c r="AL87" s="2"/>
      <c r="AM87" s="2"/>
      <c r="AN87" s="2"/>
      <c r="AO87" s="2">
        <f>IF(A7,IF($A$17,$AO$6-0.75,-3),-10)</f>
        <v>-5.0000000000000044E-2</v>
      </c>
      <c r="AP87" s="2">
        <f>IF($A$17,$AP$5-0.6,-3)</f>
        <v>-0.69</v>
      </c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5"/>
      <c r="BC87" s="1"/>
      <c r="BD87" s="1"/>
      <c r="BE87" s="1"/>
      <c r="BF87" s="1"/>
      <c r="BG87" s="1"/>
      <c r="BH87" s="1"/>
    </row>
    <row r="88" spans="1:60" s="7" customFormat="1" ht="17.25" thickBot="1">
      <c r="A88" s="70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AE88" s="18" t="str">
        <f>B88&amp;COUNTIF($B$38:B88,B88)</f>
        <v>0</v>
      </c>
      <c r="AF88" s="18">
        <f t="array" ref="AF88">SUMPRODUCT(MID(0&amp;AE88,LARGE(ISNUMBER(--MID(AE88,ROW($1:$50),1))*ROW($1:$50),ROW($1:$50))+1,1)*10^(ROW($1:$50)-1))</f>
        <v>0</v>
      </c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5"/>
      <c r="BC88" s="1"/>
      <c r="BD88" s="1"/>
      <c r="BE88" s="1"/>
      <c r="BF88" s="1"/>
      <c r="BG88" s="1"/>
      <c r="BH88" s="1"/>
    </row>
    <row r="89" spans="1:60" s="7" customFormat="1" ht="17.25" thickBot="1">
      <c r="A89" s="70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AE89" s="18" t="str">
        <f>B89&amp;COUNTIF($B$38:B89,B89)</f>
        <v>0</v>
      </c>
      <c r="AF89" s="18">
        <f t="array" ref="AF89">SUMPRODUCT(MID(0&amp;AE89,LARGE(ISNUMBER(--MID(AE89,ROW($1:$50),1))*ROW($1:$50),ROW($1:$50))+1,1)*10^(ROW($1:$50)-1))</f>
        <v>0</v>
      </c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5"/>
      <c r="BC89" s="1"/>
      <c r="BD89" s="1"/>
      <c r="BE89" s="1"/>
      <c r="BF89" s="1"/>
      <c r="BG89" s="1"/>
      <c r="BH89" s="1"/>
    </row>
    <row r="90" spans="1:60" s="7" customFormat="1" ht="17.25" thickBot="1">
      <c r="A90" s="70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AE90" s="18" t="str">
        <f>B90&amp;COUNTIF($B$38:B90,B90)</f>
        <v>0</v>
      </c>
      <c r="AF90" s="18">
        <f t="array" ref="AF90">SUMPRODUCT(MID(0&amp;AE90,LARGE(ISNUMBER(--MID(AE90,ROW($1:$50),1))*ROW($1:$50),ROW($1:$50))+1,1)*10^(ROW($1:$50)-1))</f>
        <v>0</v>
      </c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5"/>
      <c r="BC90" s="1"/>
      <c r="BD90" s="1"/>
      <c r="BE90" s="1"/>
      <c r="BF90" s="1"/>
      <c r="BG90" s="1"/>
      <c r="BH90" s="1"/>
    </row>
    <row r="91" spans="1:60" s="7" customFormat="1" ht="17.25" thickBot="1">
      <c r="A91" s="70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AE91" s="18" t="str">
        <f>B91&amp;COUNTIF($B$38:B91,B91)</f>
        <v>0</v>
      </c>
      <c r="AF91" s="18">
        <f t="array" ref="AF91">SUMPRODUCT(MID(0&amp;AE91,LARGE(ISNUMBER(--MID(AE91,ROW($1:$50),1))*ROW($1:$50),ROW($1:$50))+1,1)*10^(ROW($1:$50)-1))</f>
        <v>0</v>
      </c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5"/>
      <c r="BC91" s="1"/>
      <c r="BD91" s="1"/>
      <c r="BE91" s="1"/>
      <c r="BF91" s="1"/>
      <c r="BG91" s="1"/>
      <c r="BH91" s="1"/>
    </row>
    <row r="92" spans="1:60" s="7" customFormat="1" ht="17.25" thickBot="1">
      <c r="A92" s="70"/>
      <c r="AE92" s="18" t="str">
        <f>B92&amp;COUNTIF($B$38:B92,B92)</f>
        <v>0</v>
      </c>
      <c r="AF92" s="18">
        <f t="array" ref="AF92">SUMPRODUCT(MID(0&amp;AE92,LARGE(ISNUMBER(--MID(AE92,ROW($1:$50),1))*ROW($1:$50),ROW($1:$50))+1,1)*10^(ROW($1:$50)-1))</f>
        <v>0</v>
      </c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5"/>
      <c r="BC92" s="1"/>
      <c r="BD92" s="1"/>
      <c r="BE92" s="1"/>
      <c r="BF92" s="1"/>
      <c r="BG92" s="1"/>
      <c r="BH92" s="1"/>
    </row>
    <row r="93" spans="1:60" s="7" customFormat="1" ht="17.25" thickBot="1">
      <c r="A93" s="70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AE93" s="18" t="str">
        <f>B93&amp;COUNTIF($B$38:B93,B93)</f>
        <v>0</v>
      </c>
      <c r="AF93" s="18">
        <f t="array" ref="AF93">SUMPRODUCT(MID(0&amp;AE93,LARGE(ISNUMBER(--MID(AE93,ROW($1:$50),1))*ROW($1:$50),ROW($1:$50))+1,1)*10^(ROW($1:$50)-1))</f>
        <v>0</v>
      </c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5"/>
      <c r="BC93" s="1"/>
      <c r="BD93" s="1"/>
      <c r="BE93" s="1"/>
      <c r="BF93" s="1"/>
      <c r="BG93" s="1"/>
      <c r="BH93" s="1"/>
    </row>
    <row r="94" spans="1:60" s="7" customFormat="1" ht="17.25" thickBot="1">
      <c r="A94" s="70"/>
      <c r="AE94" s="18" t="str">
        <f>B94&amp;COUNTIF($B$38:B94,B94)</f>
        <v>0</v>
      </c>
      <c r="AF94" s="18">
        <f t="array" ref="AF94">SUMPRODUCT(MID(0&amp;AE94,LARGE(ISNUMBER(--MID(AE94,ROW($1:$50),1))*ROW($1:$50),ROW($1:$50))+1,1)*10^(ROW($1:$50)-1))</f>
        <v>0</v>
      </c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5"/>
      <c r="BC94" s="1"/>
      <c r="BD94" s="1"/>
      <c r="BE94" s="1"/>
      <c r="BF94" s="1"/>
      <c r="BG94" s="1"/>
      <c r="BH94" s="1"/>
    </row>
    <row r="95" spans="1:60" s="7" customFormat="1" ht="17.25" thickBot="1">
      <c r="A95" s="70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AE95" s="18" t="str">
        <f>B95&amp;COUNTIF($B$38:B95,B95)</f>
        <v>0</v>
      </c>
      <c r="AF95" s="18">
        <f t="array" ref="AF95">SUMPRODUCT(MID(0&amp;AE95,LARGE(ISNUMBER(--MID(AE95,ROW($1:$50),1))*ROW($1:$50),ROW($1:$50))+1,1)*10^(ROW($1:$50)-1))</f>
        <v>0</v>
      </c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5"/>
      <c r="BC95" s="1"/>
      <c r="BD95" s="1"/>
      <c r="BE95" s="1"/>
      <c r="BF95" s="1"/>
      <c r="BG95" s="1"/>
      <c r="BH95" s="1"/>
    </row>
    <row r="96" spans="1:60" s="7" customFormat="1" ht="17.25" thickBot="1">
      <c r="A96" s="70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AE96" s="18" t="str">
        <f>B96&amp;COUNTIF($B$38:B96,B96)</f>
        <v>0</v>
      </c>
      <c r="AF96" s="18">
        <f t="array" ref="AF96">SUMPRODUCT(MID(0&amp;AE96,LARGE(ISNUMBER(--MID(AE96,ROW($1:$50),1))*ROW($1:$50),ROW($1:$50))+1,1)*10^(ROW($1:$50)-1))</f>
        <v>0</v>
      </c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5"/>
      <c r="BC96" s="1"/>
      <c r="BD96" s="1"/>
      <c r="BE96" s="1"/>
      <c r="BF96" s="1"/>
      <c r="BG96" s="1"/>
      <c r="BH96" s="1"/>
    </row>
    <row r="97" spans="1:60" s="7" customFormat="1" ht="17.25" thickBot="1">
      <c r="A97" s="70"/>
      <c r="B97" s="2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18" t="str">
        <f>B97&amp;COUNTIF($B$38:B97,B97)</f>
        <v>0</v>
      </c>
      <c r="AF97" s="18">
        <f t="array" ref="AF97">SUMPRODUCT(MID(0&amp;AE97,LARGE(ISNUMBER(--MID(AE97,ROW($1:$50),1))*ROW($1:$50),ROW($1:$50))+1,1)*10^(ROW($1:$50)-1))</f>
        <v>0</v>
      </c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5"/>
      <c r="BC97" s="1"/>
      <c r="BD97" s="1"/>
      <c r="BE97" s="1"/>
      <c r="BF97" s="1"/>
      <c r="BG97" s="1"/>
      <c r="BH97" s="1"/>
    </row>
    <row r="98" spans="1:60" s="7" customFormat="1" ht="17.25" thickBot="1">
      <c r="A98" s="70"/>
      <c r="B98" s="2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18" t="str">
        <f>B98&amp;COUNTIF($B$38:B98,B98)</f>
        <v>0</v>
      </c>
      <c r="AF98" s="18">
        <f t="array" ref="AF98">SUMPRODUCT(MID(0&amp;AE98,LARGE(ISNUMBER(--MID(AE98,ROW($1:$50),1))*ROW($1:$50),ROW($1:$50))+1,1)*10^(ROW($1:$50)-1))</f>
        <v>0</v>
      </c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5"/>
      <c r="BC98" s="1"/>
      <c r="BD98" s="1"/>
      <c r="BE98" s="1"/>
      <c r="BF98" s="1"/>
      <c r="BG98" s="1"/>
      <c r="BH98" s="1"/>
    </row>
    <row r="99" spans="1:60" s="7" customFormat="1" ht="17.25" thickBot="1">
      <c r="A99" s="70"/>
      <c r="B99" s="2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18" t="str">
        <f>B99&amp;COUNTIF($B$38:B99,B99)</f>
        <v>0</v>
      </c>
      <c r="AF99" s="18">
        <f t="array" ref="AF99">SUMPRODUCT(MID(0&amp;AE99,LARGE(ISNUMBER(--MID(AE99,ROW($1:$50),1))*ROW($1:$50),ROW($1:$50))+1,1)*10^(ROW($1:$50)-1))</f>
        <v>0</v>
      </c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5"/>
      <c r="BC99" s="1"/>
      <c r="BD99" s="1"/>
      <c r="BE99" s="1"/>
      <c r="BF99" s="1"/>
      <c r="BG99" s="1"/>
      <c r="BH99" s="1"/>
    </row>
    <row r="100" spans="1:60" s="2" customFormat="1" ht="17.25" thickBot="1">
      <c r="A100" s="70"/>
      <c r="AE100" s="18"/>
      <c r="AF100" s="18"/>
      <c r="BB100" s="5"/>
      <c r="BC100" s="5"/>
      <c r="BD100" s="5"/>
      <c r="BE100" s="5"/>
      <c r="BF100" s="5"/>
      <c r="BG100" s="5"/>
      <c r="BH100" s="5"/>
    </row>
    <row r="101" spans="1:60" s="2" customFormat="1">
      <c r="A101" s="72"/>
      <c r="B101" s="24"/>
      <c r="C101" s="2" t="str">
        <f>B102</f>
        <v/>
      </c>
      <c r="F101" s="2" t="str">
        <f>B103</f>
        <v/>
      </c>
      <c r="I101" s="2" t="str">
        <f>B104</f>
        <v/>
      </c>
      <c r="L101" s="2" t="str">
        <f>B105</f>
        <v/>
      </c>
      <c r="O101" s="2" t="str">
        <f>B106</f>
        <v/>
      </c>
      <c r="R101" s="2" t="str">
        <f>B107</f>
        <v/>
      </c>
      <c r="U101" s="2" t="str">
        <f>B108</f>
        <v/>
      </c>
      <c r="X101" s="2" t="str">
        <f>B109</f>
        <v/>
      </c>
      <c r="AA101" s="2" t="str">
        <f>B110</f>
        <v/>
      </c>
      <c r="BB101" s="5"/>
      <c r="BC101" s="5"/>
      <c r="BD101" s="5"/>
      <c r="BE101" s="5"/>
      <c r="BF101" s="5"/>
      <c r="BG101" s="5"/>
      <c r="BH101" s="5"/>
    </row>
    <row r="102" spans="1:60" s="2" customFormat="1">
      <c r="A102" s="72">
        <v>1</v>
      </c>
      <c r="B102" s="24" t="str">
        <f>IFERROR(IF(OR(INDEX($B$38:$B$100,MATCH(TRUE,COUNTIF($B$101:B101,$B$38:$B$100)=0,0))=0,INDEX($B$38:$B$100,MATCH(TRUE,COUNTIF($B$101:B101,$B$38:$B$100)=0,0))="Name"),"",INDEX($B$38:$B$100,MATCH(TRUE,COUNTIF($B$101:B101,$B$38:$B$100)=0,0))),"")</f>
        <v/>
      </c>
      <c r="C102" s="25" t="s">
        <v>125</v>
      </c>
      <c r="D102" s="25" t="s">
        <v>126</v>
      </c>
      <c r="E102" s="25" t="s">
        <v>127</v>
      </c>
      <c r="F102" s="25" t="s">
        <v>125</v>
      </c>
      <c r="G102" s="25" t="s">
        <v>126</v>
      </c>
      <c r="H102" s="25" t="s">
        <v>127</v>
      </c>
      <c r="I102" s="25" t="s">
        <v>125</v>
      </c>
      <c r="J102" s="25" t="s">
        <v>126</v>
      </c>
      <c r="K102" s="25" t="s">
        <v>127</v>
      </c>
      <c r="L102" s="25" t="s">
        <v>125</v>
      </c>
      <c r="M102" s="25" t="s">
        <v>126</v>
      </c>
      <c r="N102" s="25" t="s">
        <v>127</v>
      </c>
      <c r="O102" s="25" t="s">
        <v>125</v>
      </c>
      <c r="P102" s="25" t="s">
        <v>126</v>
      </c>
      <c r="Q102" s="25" t="s">
        <v>127</v>
      </c>
      <c r="R102" s="25" t="s">
        <v>125</v>
      </c>
      <c r="S102" s="25" t="s">
        <v>126</v>
      </c>
      <c r="T102" s="25" t="s">
        <v>127</v>
      </c>
      <c r="U102" s="25" t="s">
        <v>125</v>
      </c>
      <c r="V102" s="25" t="s">
        <v>126</v>
      </c>
      <c r="W102" s="25" t="s">
        <v>127</v>
      </c>
      <c r="X102" s="25" t="s">
        <v>125</v>
      </c>
      <c r="Y102" s="25" t="s">
        <v>126</v>
      </c>
      <c r="Z102" s="25" t="s">
        <v>127</v>
      </c>
      <c r="AA102" s="25" t="s">
        <v>125</v>
      </c>
      <c r="AB102" s="25" t="s">
        <v>126</v>
      </c>
      <c r="AC102" s="25" t="s">
        <v>127</v>
      </c>
      <c r="BB102" s="5"/>
      <c r="BC102" s="5"/>
      <c r="BD102" s="5"/>
      <c r="BE102" s="5"/>
      <c r="BF102" s="5"/>
      <c r="BG102" s="5"/>
      <c r="BH102" s="5"/>
    </row>
    <row r="103" spans="1:60" s="2" customFormat="1">
      <c r="A103" s="72">
        <v>2</v>
      </c>
      <c r="B103" s="24" t="str">
        <f t="array" ref="B103">IFERROR(IF(OR(INDEX($B$38:$B$100,MATCH(TRUE,COUNTIF($B$101:B102,$B$38:$B$100)=0,0))=0,INDEX($B$38:$B$100,MATCH(TRUE,COUNTIF($B$101:B102,$B$38:$B$100)=0,0))="이름"),"",INDEX($B$38:$B$100,MATCH(TRUE,COUNTIF($B$101:B102,$B$38:$B$100)=0,0))),"")</f>
        <v/>
      </c>
      <c r="C103" s="26" t="str">
        <f t="shared" ref="C103:C110" si="0">IF(IFERROR(LEFT(INDEX($Q$38:$AE$100,MATCH(C$101&amp;$A102,$AE$38:$AE$100,0),1),FIND(",",INDEX($Q$38:$AE$100,MATCH(C$101&amp;$A102,$AE$38:$AE$100,0),1))-1),)=0,"",IFERROR(LEFT(INDEX($Q$38:$AE$100,MATCH(C$101&amp;$A102,$AE$38:$AE$100,0),1),FIND(",",INDEX($Q$38:$AE$100,MATCH(C$101&amp;$A102,$AE$38:$AE$100,0),1))-1),))</f>
        <v/>
      </c>
      <c r="D103" s="26" t="str">
        <f t="shared" ref="D103:D110" si="1">IF(C103="","",IFERROR(MID(INDEX($Q$38:$AE$100,MATCH(C$101&amp;$A102,$AE$38:$AE$100,0),1),FIND(",",INDEX($Q$38:$AE$100,MATCH(C$101&amp;$A102,$AE$38:$AE$100,0),1))+2,2),))</f>
        <v/>
      </c>
      <c r="E103" s="26" t="str">
        <f t="shared" ref="E103:E110" si="2">IF(C103="","",IFERROR(INDEX($C$38:$AE$100,MATCH(C$101&amp;$A102,$AE$38:$AE$100,0),1),))</f>
        <v/>
      </c>
      <c r="F103" s="26" t="str">
        <f t="shared" ref="F103:F110" si="3">IF(IFERROR(LEFT(INDEX($Q$38:$AE$100,MATCH(F$101&amp;$A102,$AE$38:$AE$100,0),1),FIND(",",INDEX($Q$38:$AE$100,MATCH(F$101&amp;$A102,$AE$38:$AE$100,0),1))-1),)=0,"",IFERROR(LEFT(INDEX($Q$38:$AE$100,MATCH(F$101&amp;$A102,$AE$38:$AE$100,0),1),FIND(",",INDEX($Q$38:$AE$100,MATCH(F$101&amp;$A102,$AE$38:$AE$100,0),1))-1),))</f>
        <v/>
      </c>
      <c r="G103" s="26" t="str">
        <f t="shared" ref="G103:G110" si="4">IF(F103="","",IFERROR(MID(INDEX($Q$38:$AE$100,MATCH(F$101&amp;$A102,$AE$38:$AE$100,0),1),FIND(",",INDEX($Q$38:$AE$100,MATCH(F$101&amp;$A102,$AE$38:$AE$100,0),1))+2,2),))</f>
        <v/>
      </c>
      <c r="H103" s="26" t="str">
        <f t="shared" ref="H103:H110" si="5">IF(F103="","",IFERROR(INDEX($C$38:$AE$100,MATCH(F$101&amp;$A102,$AE$38:$AE$100,0),1),))</f>
        <v/>
      </c>
      <c r="I103" s="26" t="str">
        <f t="shared" ref="I103:I110" si="6">IF(IFERROR(LEFT(INDEX($Q$38:$AE$100,MATCH(I$101&amp;$A102,$AE$38:$AE$100,0),1),FIND(",",INDEX($Q$38:$AE$100,MATCH(I$101&amp;$A102,$AE$38:$AE$100,0),1))-1),)=0,"",IFERROR(LEFT(INDEX($Q$38:$AE$100,MATCH(I$101&amp;$A102,$AE$38:$AE$100,0),1),FIND(",",INDEX($Q$38:$AE$100,MATCH(I$101&amp;$A102,$AE$38:$AE$100,0),1))-1),))</f>
        <v/>
      </c>
      <c r="J103" s="26" t="str">
        <f t="shared" ref="J103:J110" si="7">IF(I103="","",IFERROR(MID(INDEX($Q$38:$AE$100,MATCH(I$101&amp;$A102,$AE$38:$AE$100,0),1),FIND(",",INDEX($Q$38:$AE$100,MATCH(I$101&amp;$A102,$AE$38:$AE$100,0),1))+2,2),))</f>
        <v/>
      </c>
      <c r="K103" s="26" t="str">
        <f t="shared" ref="K103:K110" si="8">IF(I103="","",IFERROR(INDEX($C$38:$AE$100,MATCH(I$101&amp;$A102,$AE$38:$AE$100,0),1),))</f>
        <v/>
      </c>
      <c r="L103" s="26" t="str">
        <f t="shared" ref="L103:L110" si="9">IF(IFERROR(LEFT(INDEX($Q$38:$AE$100,MATCH(L$101&amp;$A102,$AE$38:$AE$100,0),1),FIND(",",INDEX($Q$38:$AE$100,MATCH(L$101&amp;$A102,$AE$38:$AE$100,0),1))-1),)=0,"",IFERROR(LEFT(INDEX($Q$38:$AE$100,MATCH(L$101&amp;$A102,$AE$38:$AE$100,0),1),FIND(",",INDEX($Q$38:$AE$100,MATCH(L$101&amp;$A102,$AE$38:$AE$100,0),1))-1),))</f>
        <v/>
      </c>
      <c r="M103" s="26" t="str">
        <f t="shared" ref="M103:M110" si="10">IF(L103="","",IFERROR(MID(INDEX($Q$38:$AE$100,MATCH(L$101&amp;$A102,$AE$38:$AE$100,0),1),FIND(",",INDEX($Q$38:$AE$100,MATCH(L$101&amp;$A102,$AE$38:$AE$100,0),1))+2,2),))</f>
        <v/>
      </c>
      <c r="N103" s="26" t="str">
        <f t="shared" ref="N103:N110" si="11">IF(L103="","",IFERROR(INDEX($C$38:$AE$100,MATCH(L$101&amp;$A102,$AE$38:$AE$100,0),1),))</f>
        <v/>
      </c>
      <c r="O103" s="26" t="str">
        <f t="shared" ref="O103:O110" si="12">IF(IFERROR(LEFT(INDEX($Q$38:$AE$100,MATCH(O$101&amp;$A102,$AE$38:$AE$100,0),1),FIND(",",INDEX($Q$38:$AE$100,MATCH(O$101&amp;$A102,$AE$38:$AE$100,0),1))-1),)=0,"",IFERROR(LEFT(INDEX($Q$38:$AE$100,MATCH(O$101&amp;$A102,$AE$38:$AE$100,0),1),FIND(",",INDEX($Q$38:$AE$100,MATCH(O$101&amp;$A102,$AE$38:$AE$100,0),1))-1),))</f>
        <v/>
      </c>
      <c r="P103" s="26" t="str">
        <f t="shared" ref="P103:P110" si="13">IF(O103="","",IFERROR(MID(INDEX($Q$38:$AE$100,MATCH(O$101&amp;$A102,$AE$38:$AE$100,0),1),FIND(",",INDEX($Q$38:$AE$100,MATCH(O$101&amp;$A102,$AE$38:$AE$100,0),1))+2,2),))</f>
        <v/>
      </c>
      <c r="Q103" s="26" t="str">
        <f t="shared" ref="Q103:Q110" si="14">IF(O103="","",IFERROR(INDEX($C$38:$AE$100,MATCH(O$101&amp;$A102,$AE$38:$AE$100,0),1),))</f>
        <v/>
      </c>
      <c r="R103" s="26" t="str">
        <f t="shared" ref="R103:R110" si="15">IF(IFERROR(LEFT(INDEX($Q$38:$AE$100,MATCH(R$101&amp;$A102,$AE$38:$AE$100,0),1),FIND(",",INDEX($Q$38:$AE$100,MATCH(R$101&amp;$A102,$AE$38:$AE$100,0),1))-1),)=0,"",IFERROR(LEFT(INDEX($Q$38:$AE$100,MATCH(R$101&amp;$A102,$AE$38:$AE$100,0),1),FIND(",",INDEX($Q$38:$AE$100,MATCH(R$101&amp;$A102,$AE$38:$AE$100,0),1))-1),))</f>
        <v/>
      </c>
      <c r="S103" s="26" t="str">
        <f t="shared" ref="S103:S110" si="16">IF(R103="","",IFERROR(MID(INDEX($Q$38:$AE$100,MATCH(R$101&amp;$A102,$AE$38:$AE$100,0),1),FIND(",",INDEX($Q$38:$AE$100,MATCH(R$101&amp;$A102,$AE$38:$AE$100,0),1))+2,2),))</f>
        <v/>
      </c>
      <c r="T103" s="26" t="str">
        <f t="shared" ref="T103:T110" si="17">IF(R103="","",IFERROR(INDEX($C$38:$AE$100,MATCH(R$101&amp;$A102,$AE$38:$AE$100,0),1),))</f>
        <v/>
      </c>
      <c r="U103" s="26" t="str">
        <f t="shared" ref="U103:U110" si="18">IF(IFERROR(LEFT(INDEX($Q$38:$AE$100,MATCH(U$101&amp;$A102,$AE$38:$AE$100,0),1),FIND(",",INDEX($Q$38:$AE$100,MATCH(U$101&amp;$A102,$AE$38:$AE$100,0),1))-1),)=0,"",IFERROR(LEFT(INDEX($Q$38:$AE$100,MATCH(U$101&amp;$A102,$AE$38:$AE$100,0),1),FIND(",",INDEX($Q$38:$AE$100,MATCH(U$101&amp;$A102,$AE$38:$AE$100,0),1))-1),))</f>
        <v/>
      </c>
      <c r="V103" s="26" t="str">
        <f t="shared" ref="V103:V110" si="19">IF(U103="","",IFERROR(MID(INDEX($Q$38:$AE$100,MATCH(U$101&amp;$A102,$AE$38:$AE$100,0),1),FIND(",",INDEX($Q$38:$AE$100,MATCH(U$101&amp;$A102,$AE$38:$AE$100,0),1))+2,2),))</f>
        <v/>
      </c>
      <c r="W103" s="26" t="str">
        <f t="shared" ref="W103:W110" si="20">IF(U103="","",IFERROR(INDEX($C$38:$AE$100,MATCH(U$101&amp;$A102,$AE$38:$AE$100,0),1),))</f>
        <v/>
      </c>
      <c r="X103" s="26" t="str">
        <f t="shared" ref="X103:X110" si="21">IF(IFERROR(LEFT(INDEX($Q$38:$AE$100,MATCH(X$101&amp;$A102,$AE$38:$AE$100,0),1),FIND(",",INDEX($Q$38:$AE$100,MATCH(X$101&amp;$A102,$AE$38:$AE$100,0),1))-1),)=0,"",IFERROR(LEFT(INDEX($Q$38:$AE$100,MATCH(X$101&amp;$A102,$AE$38:$AE$100,0),1),FIND(",",INDEX($Q$38:$AE$100,MATCH(X$101&amp;$A102,$AE$38:$AE$100,0),1))-1),))</f>
        <v/>
      </c>
      <c r="Y103" s="26" t="str">
        <f t="shared" ref="Y103:Y110" si="22">IF(X103="","",IFERROR(MID(INDEX($Q$38:$AE$100,MATCH(X$101&amp;$A102,$AE$38:$AE$100,0),1),FIND(",",INDEX($Q$38:$AE$100,MATCH(X$101&amp;$A102,$AE$38:$AE$100,0),1))+2,2),))</f>
        <v/>
      </c>
      <c r="Z103" s="26" t="str">
        <f t="shared" ref="Z103:Z110" si="23">IF(X103="","",IFERROR(INDEX($C$38:$AE$100,MATCH(X$101&amp;$A102,$AE$38:$AE$100,0),1),))</f>
        <v/>
      </c>
      <c r="AA103" s="26" t="str">
        <f t="shared" ref="AA103:AA110" si="24">IF(IFERROR(LEFT(INDEX($Q$38:$AE$100,MATCH(AA$101&amp;$A102,$AE$38:$AE$100,0),1),FIND(",",INDEX($Q$38:$AE$100,MATCH(AA$101&amp;$A102,$AE$38:$AE$100,0),1))-1),)=0,"",IFERROR(LEFT(INDEX($Q$38:$AE$100,MATCH(AA$101&amp;$A102,$AE$38:$AE$100,0),1),FIND(",",INDEX($Q$38:$AE$100,MATCH(AA$101&amp;$A102,$AE$38:$AE$100,0),1))-1),))</f>
        <v/>
      </c>
      <c r="AB103" s="26" t="str">
        <f t="shared" ref="AB103:AB110" si="25">IF(AA103="","",IFERROR(MID(INDEX($Q$38:$AE$100,MATCH(AA$101&amp;$A102,$AE$38:$AE$100,0),1),FIND(",",INDEX($Q$38:$AE$100,MATCH(AA$101&amp;$A102,$AE$38:$AE$100,0),1))+2,2),))</f>
        <v/>
      </c>
      <c r="AC103" s="26" t="str">
        <f t="shared" ref="AC103:AC110" si="26">IF(AA103="","",IFERROR(INDEX($C$38:$AE$100,MATCH(AA$101&amp;$A102,$AE$38:$AE$100,0),1),))</f>
        <v/>
      </c>
      <c r="BB103" s="5"/>
      <c r="BC103" s="5"/>
      <c r="BD103" s="5"/>
      <c r="BE103" s="5"/>
      <c r="BF103" s="5"/>
      <c r="BG103" s="5"/>
      <c r="BH103" s="5"/>
    </row>
    <row r="104" spans="1:60" s="2" customFormat="1">
      <c r="A104" s="72">
        <v>3</v>
      </c>
      <c r="B104" s="24" t="str">
        <f t="array" ref="B104">IFERROR(IF(OR(INDEX($B$38:$B$100,MATCH(TRUE,COUNTIF($B$101:B103,$B$38:$B$100)=0,0))=0,INDEX($B$38:$B$100,MATCH(TRUE,COUNTIF($B$101:B103,$B$38:$B$100)=0,0))="이름"),"",INDEX($B$38:$B$100,MATCH(TRUE,COUNTIF($B$101:B103,$B$38:$B$100)=0,0))),"")</f>
        <v/>
      </c>
      <c r="C104" s="26" t="str">
        <f t="shared" si="0"/>
        <v/>
      </c>
      <c r="D104" s="26" t="str">
        <f t="shared" si="1"/>
        <v/>
      </c>
      <c r="E104" s="26" t="str">
        <f t="shared" si="2"/>
        <v/>
      </c>
      <c r="F104" s="26" t="str">
        <f t="shared" si="3"/>
        <v/>
      </c>
      <c r="G104" s="26" t="str">
        <f t="shared" si="4"/>
        <v/>
      </c>
      <c r="H104" s="26" t="str">
        <f t="shared" si="5"/>
        <v/>
      </c>
      <c r="I104" s="26" t="str">
        <f t="shared" si="6"/>
        <v/>
      </c>
      <c r="J104" s="26" t="str">
        <f t="shared" si="7"/>
        <v/>
      </c>
      <c r="K104" s="26" t="str">
        <f t="shared" si="8"/>
        <v/>
      </c>
      <c r="L104" s="26" t="str">
        <f t="shared" si="9"/>
        <v/>
      </c>
      <c r="M104" s="26" t="str">
        <f t="shared" si="10"/>
        <v/>
      </c>
      <c r="N104" s="26" t="str">
        <f t="shared" si="11"/>
        <v/>
      </c>
      <c r="O104" s="26" t="str">
        <f t="shared" si="12"/>
        <v/>
      </c>
      <c r="P104" s="26" t="str">
        <f t="shared" si="13"/>
        <v/>
      </c>
      <c r="Q104" s="26" t="str">
        <f t="shared" si="14"/>
        <v/>
      </c>
      <c r="R104" s="26" t="str">
        <f t="shared" si="15"/>
        <v/>
      </c>
      <c r="S104" s="26" t="str">
        <f t="shared" si="16"/>
        <v/>
      </c>
      <c r="T104" s="26" t="str">
        <f t="shared" si="17"/>
        <v/>
      </c>
      <c r="U104" s="26" t="str">
        <f t="shared" si="18"/>
        <v/>
      </c>
      <c r="V104" s="26" t="str">
        <f t="shared" si="19"/>
        <v/>
      </c>
      <c r="W104" s="26" t="str">
        <f t="shared" si="20"/>
        <v/>
      </c>
      <c r="X104" s="26" t="str">
        <f t="shared" si="21"/>
        <v/>
      </c>
      <c r="Y104" s="26" t="str">
        <f t="shared" si="22"/>
        <v/>
      </c>
      <c r="Z104" s="26" t="str">
        <f t="shared" si="23"/>
        <v/>
      </c>
      <c r="AA104" s="26" t="str">
        <f t="shared" si="24"/>
        <v/>
      </c>
      <c r="AB104" s="26" t="str">
        <f t="shared" si="25"/>
        <v/>
      </c>
      <c r="AC104" s="26" t="str">
        <f t="shared" si="26"/>
        <v/>
      </c>
      <c r="BB104" s="5"/>
      <c r="BC104" s="5"/>
      <c r="BD104" s="5"/>
      <c r="BE104" s="5"/>
      <c r="BF104" s="5"/>
      <c r="BG104" s="5"/>
      <c r="BH104" s="5"/>
    </row>
    <row r="105" spans="1:60" s="2" customFormat="1">
      <c r="A105" s="72">
        <v>4</v>
      </c>
      <c r="B105" s="24" t="str">
        <f t="array" ref="B105">IFERROR(IF(OR(INDEX($B$38:$B$100,MATCH(TRUE,COUNTIF($B$101:B104,$B$38:$B$100)=0,0))=0,INDEX($B$38:$B$100,MATCH(TRUE,COUNTIF($B$101:B104,$B$38:$B$100)=0,0))="이름"),"",INDEX($B$38:$B$100,MATCH(TRUE,COUNTIF($B$101:B104,$B$38:$B$100)=0,0))),"")</f>
        <v/>
      </c>
      <c r="C105" s="26" t="str">
        <f t="shared" si="0"/>
        <v/>
      </c>
      <c r="D105" s="26" t="str">
        <f t="shared" si="1"/>
        <v/>
      </c>
      <c r="E105" s="26" t="str">
        <f t="shared" si="2"/>
        <v/>
      </c>
      <c r="F105" s="26" t="str">
        <f t="shared" si="3"/>
        <v/>
      </c>
      <c r="G105" s="26" t="str">
        <f t="shared" si="4"/>
        <v/>
      </c>
      <c r="H105" s="26" t="str">
        <f t="shared" si="5"/>
        <v/>
      </c>
      <c r="I105" s="26" t="str">
        <f t="shared" si="6"/>
        <v/>
      </c>
      <c r="J105" s="26" t="str">
        <f t="shared" si="7"/>
        <v/>
      </c>
      <c r="K105" s="26" t="str">
        <f t="shared" si="8"/>
        <v/>
      </c>
      <c r="L105" s="26" t="str">
        <f t="shared" si="9"/>
        <v/>
      </c>
      <c r="M105" s="26" t="str">
        <f t="shared" si="10"/>
        <v/>
      </c>
      <c r="N105" s="26" t="str">
        <f t="shared" si="11"/>
        <v/>
      </c>
      <c r="O105" s="26" t="str">
        <f t="shared" si="12"/>
        <v/>
      </c>
      <c r="P105" s="26" t="str">
        <f t="shared" si="13"/>
        <v/>
      </c>
      <c r="Q105" s="26" t="str">
        <f t="shared" si="14"/>
        <v/>
      </c>
      <c r="R105" s="26" t="str">
        <f t="shared" si="15"/>
        <v/>
      </c>
      <c r="S105" s="26" t="str">
        <f t="shared" si="16"/>
        <v/>
      </c>
      <c r="T105" s="26" t="str">
        <f t="shared" si="17"/>
        <v/>
      </c>
      <c r="U105" s="26" t="str">
        <f t="shared" si="18"/>
        <v/>
      </c>
      <c r="V105" s="26" t="str">
        <f t="shared" si="19"/>
        <v/>
      </c>
      <c r="W105" s="26" t="str">
        <f t="shared" si="20"/>
        <v/>
      </c>
      <c r="X105" s="26" t="str">
        <f t="shared" si="21"/>
        <v/>
      </c>
      <c r="Y105" s="26" t="str">
        <f t="shared" si="22"/>
        <v/>
      </c>
      <c r="Z105" s="26" t="str">
        <f t="shared" si="23"/>
        <v/>
      </c>
      <c r="AA105" s="26" t="str">
        <f t="shared" si="24"/>
        <v/>
      </c>
      <c r="AB105" s="26" t="str">
        <f t="shared" si="25"/>
        <v/>
      </c>
      <c r="AC105" s="26" t="str">
        <f t="shared" si="26"/>
        <v/>
      </c>
      <c r="BB105" s="5"/>
      <c r="BC105" s="5"/>
      <c r="BD105" s="5"/>
      <c r="BE105" s="5"/>
      <c r="BF105" s="5"/>
      <c r="BG105" s="5"/>
      <c r="BH105" s="5"/>
    </row>
    <row r="106" spans="1:60" s="2" customFormat="1">
      <c r="A106" s="72">
        <v>5</v>
      </c>
      <c r="B106" s="24" t="str">
        <f t="array" ref="B106">IFERROR(IF(OR(INDEX($B$38:$B$100,MATCH(TRUE,COUNTIF($B$101:B105,$B$38:$B$100)=0,0))=0,INDEX($B$38:$B$100,MATCH(TRUE,COUNTIF($B$101:B105,$B$38:$B$100)=0,0))="이름"),"",INDEX($B$38:$B$100,MATCH(TRUE,COUNTIF($B$101:B105,$B$38:$B$100)=0,0))),"")</f>
        <v/>
      </c>
      <c r="C106" s="26" t="str">
        <f t="shared" si="0"/>
        <v/>
      </c>
      <c r="D106" s="26" t="str">
        <f t="shared" si="1"/>
        <v/>
      </c>
      <c r="E106" s="26" t="str">
        <f t="shared" si="2"/>
        <v/>
      </c>
      <c r="F106" s="26" t="str">
        <f t="shared" si="3"/>
        <v/>
      </c>
      <c r="G106" s="26" t="str">
        <f t="shared" si="4"/>
        <v/>
      </c>
      <c r="H106" s="26" t="str">
        <f t="shared" si="5"/>
        <v/>
      </c>
      <c r="I106" s="26" t="str">
        <f t="shared" si="6"/>
        <v/>
      </c>
      <c r="J106" s="26" t="str">
        <f t="shared" si="7"/>
        <v/>
      </c>
      <c r="K106" s="26" t="str">
        <f t="shared" si="8"/>
        <v/>
      </c>
      <c r="L106" s="26" t="str">
        <f t="shared" si="9"/>
        <v/>
      </c>
      <c r="M106" s="26" t="str">
        <f t="shared" si="10"/>
        <v/>
      </c>
      <c r="N106" s="26" t="str">
        <f t="shared" si="11"/>
        <v/>
      </c>
      <c r="O106" s="26" t="str">
        <f t="shared" si="12"/>
        <v/>
      </c>
      <c r="P106" s="26" t="str">
        <f t="shared" si="13"/>
        <v/>
      </c>
      <c r="Q106" s="26" t="str">
        <f t="shared" si="14"/>
        <v/>
      </c>
      <c r="R106" s="26" t="str">
        <f t="shared" si="15"/>
        <v/>
      </c>
      <c r="S106" s="26" t="str">
        <f t="shared" si="16"/>
        <v/>
      </c>
      <c r="T106" s="26" t="str">
        <f t="shared" si="17"/>
        <v/>
      </c>
      <c r="U106" s="26" t="str">
        <f t="shared" si="18"/>
        <v/>
      </c>
      <c r="V106" s="26" t="str">
        <f t="shared" si="19"/>
        <v/>
      </c>
      <c r="W106" s="26" t="str">
        <f t="shared" si="20"/>
        <v/>
      </c>
      <c r="X106" s="26" t="str">
        <f t="shared" si="21"/>
        <v/>
      </c>
      <c r="Y106" s="26" t="str">
        <f t="shared" si="22"/>
        <v/>
      </c>
      <c r="Z106" s="26" t="str">
        <f t="shared" si="23"/>
        <v/>
      </c>
      <c r="AA106" s="26" t="str">
        <f t="shared" si="24"/>
        <v/>
      </c>
      <c r="AB106" s="26" t="str">
        <f t="shared" si="25"/>
        <v/>
      </c>
      <c r="AC106" s="26" t="str">
        <f t="shared" si="26"/>
        <v/>
      </c>
      <c r="BB106" s="5"/>
      <c r="BC106" s="5"/>
      <c r="BD106" s="5"/>
      <c r="BE106" s="5"/>
      <c r="BF106" s="5"/>
      <c r="BG106" s="5"/>
      <c r="BH106" s="5"/>
    </row>
    <row r="107" spans="1:60" s="2" customFormat="1">
      <c r="A107" s="72">
        <v>6</v>
      </c>
      <c r="B107" s="24" t="str">
        <f t="array" ref="B107">IFERROR(IF(OR(INDEX($B$38:$B$100,MATCH(TRUE,COUNTIF($B$101:B106,$B$38:$B$100)=0,0))=0,INDEX($B$38:$B$100,MATCH(TRUE,COUNTIF($B$101:B106,$B$38:$B$100)=0,0))="이름"),"",INDEX($B$38:$B$100,MATCH(TRUE,COUNTIF($B$101:B106,$B$38:$B$100)=0,0))),"")</f>
        <v/>
      </c>
      <c r="C107" s="26" t="str">
        <f t="shared" si="0"/>
        <v/>
      </c>
      <c r="D107" s="26" t="str">
        <f t="shared" si="1"/>
        <v/>
      </c>
      <c r="E107" s="26" t="str">
        <f t="shared" si="2"/>
        <v/>
      </c>
      <c r="F107" s="26" t="str">
        <f t="shared" si="3"/>
        <v/>
      </c>
      <c r="G107" s="26" t="str">
        <f t="shared" si="4"/>
        <v/>
      </c>
      <c r="H107" s="26" t="str">
        <f t="shared" si="5"/>
        <v/>
      </c>
      <c r="I107" s="26" t="str">
        <f t="shared" si="6"/>
        <v/>
      </c>
      <c r="J107" s="26" t="str">
        <f t="shared" si="7"/>
        <v/>
      </c>
      <c r="K107" s="26" t="str">
        <f t="shared" si="8"/>
        <v/>
      </c>
      <c r="L107" s="26" t="str">
        <f t="shared" si="9"/>
        <v/>
      </c>
      <c r="M107" s="26" t="str">
        <f t="shared" si="10"/>
        <v/>
      </c>
      <c r="N107" s="26" t="str">
        <f t="shared" si="11"/>
        <v/>
      </c>
      <c r="O107" s="26" t="str">
        <f t="shared" si="12"/>
        <v/>
      </c>
      <c r="P107" s="26" t="str">
        <f t="shared" si="13"/>
        <v/>
      </c>
      <c r="Q107" s="26" t="str">
        <f t="shared" si="14"/>
        <v/>
      </c>
      <c r="R107" s="26" t="str">
        <f t="shared" si="15"/>
        <v/>
      </c>
      <c r="S107" s="26" t="str">
        <f t="shared" si="16"/>
        <v/>
      </c>
      <c r="T107" s="26" t="str">
        <f t="shared" si="17"/>
        <v/>
      </c>
      <c r="U107" s="26" t="str">
        <f t="shared" si="18"/>
        <v/>
      </c>
      <c r="V107" s="26" t="str">
        <f t="shared" si="19"/>
        <v/>
      </c>
      <c r="W107" s="26" t="str">
        <f t="shared" si="20"/>
        <v/>
      </c>
      <c r="X107" s="26" t="str">
        <f t="shared" si="21"/>
        <v/>
      </c>
      <c r="Y107" s="26" t="str">
        <f t="shared" si="22"/>
        <v/>
      </c>
      <c r="Z107" s="26" t="str">
        <f t="shared" si="23"/>
        <v/>
      </c>
      <c r="AA107" s="26" t="str">
        <f t="shared" si="24"/>
        <v/>
      </c>
      <c r="AB107" s="26" t="str">
        <f t="shared" si="25"/>
        <v/>
      </c>
      <c r="AC107" s="26" t="str">
        <f t="shared" si="26"/>
        <v/>
      </c>
      <c r="BB107" s="5"/>
      <c r="BC107" s="5"/>
      <c r="BD107" s="5"/>
      <c r="BE107" s="5"/>
      <c r="BF107" s="5"/>
      <c r="BG107" s="5"/>
      <c r="BH107" s="5"/>
    </row>
    <row r="108" spans="1:60" s="2" customFormat="1">
      <c r="A108" s="72">
        <v>7</v>
      </c>
      <c r="B108" s="24" t="str">
        <f t="array" ref="B108">IFERROR(IF(OR(INDEX($B$38:$B$100,MATCH(TRUE,COUNTIF($B$101:B107,$B$38:$B$100)=0,0))=0,INDEX($B$38:$B$100,MATCH(TRUE,COUNTIF($B$101:B107,$B$38:$B$100)=0,0))="이름"),"",INDEX($B$38:$B$100,MATCH(TRUE,COUNTIF($B$101:B107,$B$38:$B$100)=0,0))),"")</f>
        <v/>
      </c>
      <c r="C108" s="26" t="str">
        <f t="shared" si="0"/>
        <v/>
      </c>
      <c r="D108" s="26" t="str">
        <f t="shared" si="1"/>
        <v/>
      </c>
      <c r="E108" s="26" t="str">
        <f t="shared" si="2"/>
        <v/>
      </c>
      <c r="F108" s="26" t="str">
        <f t="shared" si="3"/>
        <v/>
      </c>
      <c r="G108" s="26" t="str">
        <f t="shared" si="4"/>
        <v/>
      </c>
      <c r="H108" s="26" t="str">
        <f t="shared" si="5"/>
        <v/>
      </c>
      <c r="I108" s="26" t="str">
        <f t="shared" si="6"/>
        <v/>
      </c>
      <c r="J108" s="26" t="str">
        <f t="shared" si="7"/>
        <v/>
      </c>
      <c r="K108" s="26" t="str">
        <f t="shared" si="8"/>
        <v/>
      </c>
      <c r="L108" s="26" t="str">
        <f t="shared" si="9"/>
        <v/>
      </c>
      <c r="M108" s="26" t="str">
        <f t="shared" si="10"/>
        <v/>
      </c>
      <c r="N108" s="26" t="str">
        <f t="shared" si="11"/>
        <v/>
      </c>
      <c r="O108" s="26" t="str">
        <f t="shared" si="12"/>
        <v/>
      </c>
      <c r="P108" s="26" t="str">
        <f t="shared" si="13"/>
        <v/>
      </c>
      <c r="Q108" s="26" t="str">
        <f t="shared" si="14"/>
        <v/>
      </c>
      <c r="R108" s="26" t="str">
        <f t="shared" si="15"/>
        <v/>
      </c>
      <c r="S108" s="26" t="str">
        <f t="shared" si="16"/>
        <v/>
      </c>
      <c r="T108" s="26" t="str">
        <f t="shared" si="17"/>
        <v/>
      </c>
      <c r="U108" s="26" t="str">
        <f t="shared" si="18"/>
        <v/>
      </c>
      <c r="V108" s="26" t="str">
        <f t="shared" si="19"/>
        <v/>
      </c>
      <c r="W108" s="26" t="str">
        <f t="shared" si="20"/>
        <v/>
      </c>
      <c r="X108" s="26" t="str">
        <f t="shared" si="21"/>
        <v/>
      </c>
      <c r="Y108" s="26" t="str">
        <f t="shared" si="22"/>
        <v/>
      </c>
      <c r="Z108" s="26" t="str">
        <f t="shared" si="23"/>
        <v/>
      </c>
      <c r="AA108" s="26" t="str">
        <f t="shared" si="24"/>
        <v/>
      </c>
      <c r="AB108" s="26" t="str">
        <f t="shared" si="25"/>
        <v/>
      </c>
      <c r="AC108" s="26" t="str">
        <f t="shared" si="26"/>
        <v/>
      </c>
      <c r="BB108" s="5"/>
      <c r="BC108" s="5"/>
      <c r="BD108" s="5"/>
      <c r="BE108" s="5"/>
      <c r="BF108" s="5"/>
      <c r="BG108" s="5"/>
      <c r="BH108" s="5"/>
    </row>
    <row r="109" spans="1:60" s="2" customFormat="1">
      <c r="A109" s="72">
        <v>8</v>
      </c>
      <c r="B109" s="24" t="str">
        <f t="array" ref="B109">IFERROR(IF(OR(INDEX($B$38:$B$100,MATCH(TRUE,COUNTIF($B$101:B108,$B$38:$B$100)=0,0))=0,INDEX($B$38:$B$100,MATCH(TRUE,COUNTIF($B$101:B108,$B$38:$B$100)=0,0))="이름"),"",INDEX($B$38:$B$100,MATCH(TRUE,COUNTIF($B$101:B108,$B$38:$B$100)=0,0))),"")</f>
        <v/>
      </c>
      <c r="C109" s="26" t="str">
        <f t="shared" si="0"/>
        <v/>
      </c>
      <c r="D109" s="26" t="str">
        <f t="shared" si="1"/>
        <v/>
      </c>
      <c r="E109" s="26" t="str">
        <f t="shared" si="2"/>
        <v/>
      </c>
      <c r="F109" s="26" t="str">
        <f t="shared" si="3"/>
        <v/>
      </c>
      <c r="G109" s="26" t="str">
        <f t="shared" si="4"/>
        <v/>
      </c>
      <c r="H109" s="26" t="str">
        <f t="shared" si="5"/>
        <v/>
      </c>
      <c r="I109" s="26" t="str">
        <f t="shared" si="6"/>
        <v/>
      </c>
      <c r="J109" s="26" t="str">
        <f t="shared" si="7"/>
        <v/>
      </c>
      <c r="K109" s="26" t="str">
        <f t="shared" si="8"/>
        <v/>
      </c>
      <c r="L109" s="26" t="str">
        <f t="shared" si="9"/>
        <v/>
      </c>
      <c r="M109" s="26" t="str">
        <f t="shared" si="10"/>
        <v/>
      </c>
      <c r="N109" s="26" t="str">
        <f t="shared" si="11"/>
        <v/>
      </c>
      <c r="O109" s="26" t="str">
        <f t="shared" si="12"/>
        <v/>
      </c>
      <c r="P109" s="26" t="str">
        <f t="shared" si="13"/>
        <v/>
      </c>
      <c r="Q109" s="26" t="str">
        <f t="shared" si="14"/>
        <v/>
      </c>
      <c r="R109" s="26" t="str">
        <f t="shared" si="15"/>
        <v/>
      </c>
      <c r="S109" s="26" t="str">
        <f t="shared" si="16"/>
        <v/>
      </c>
      <c r="T109" s="26" t="str">
        <f t="shared" si="17"/>
        <v/>
      </c>
      <c r="U109" s="26" t="str">
        <f t="shared" si="18"/>
        <v/>
      </c>
      <c r="V109" s="26" t="str">
        <f t="shared" si="19"/>
        <v/>
      </c>
      <c r="W109" s="26" t="str">
        <f t="shared" si="20"/>
        <v/>
      </c>
      <c r="X109" s="26" t="str">
        <f t="shared" si="21"/>
        <v/>
      </c>
      <c r="Y109" s="26" t="str">
        <f t="shared" si="22"/>
        <v/>
      </c>
      <c r="Z109" s="26" t="str">
        <f t="shared" si="23"/>
        <v/>
      </c>
      <c r="AA109" s="26" t="str">
        <f t="shared" si="24"/>
        <v/>
      </c>
      <c r="AB109" s="26" t="str">
        <f t="shared" si="25"/>
        <v/>
      </c>
      <c r="AC109" s="26" t="str">
        <f t="shared" si="26"/>
        <v/>
      </c>
      <c r="BB109" s="5"/>
      <c r="BC109" s="5"/>
      <c r="BD109" s="5"/>
      <c r="BE109" s="5"/>
      <c r="BF109" s="5"/>
      <c r="BG109" s="5"/>
      <c r="BH109" s="5"/>
    </row>
    <row r="110" spans="1:60" s="2" customFormat="1">
      <c r="A110" s="72"/>
      <c r="B110" s="24" t="str">
        <f t="array" ref="B110">IFERROR(IF(OR(INDEX($B$38:$B$100,MATCH(TRUE,COUNTIF($B$101:B109,$B$38:$B$100)=0,0))=0,INDEX($B$38:$B$100,MATCH(TRUE,COUNTIF($B$101:B109,$B$38:$B$100)=0,0))="이름"),"",INDEX($B$38:$B$100,MATCH(TRUE,COUNTIF($B$101:B109,$B$38:$B$100)=0,0))),"")</f>
        <v/>
      </c>
      <c r="C110" s="26" t="str">
        <f t="shared" si="0"/>
        <v/>
      </c>
      <c r="D110" s="26" t="str">
        <f t="shared" si="1"/>
        <v/>
      </c>
      <c r="E110" s="26" t="str">
        <f t="shared" si="2"/>
        <v/>
      </c>
      <c r="F110" s="26" t="str">
        <f t="shared" si="3"/>
        <v/>
      </c>
      <c r="G110" s="26" t="str">
        <f t="shared" si="4"/>
        <v/>
      </c>
      <c r="H110" s="26" t="str">
        <f t="shared" si="5"/>
        <v/>
      </c>
      <c r="I110" s="26" t="str">
        <f t="shared" si="6"/>
        <v/>
      </c>
      <c r="J110" s="26" t="str">
        <f t="shared" si="7"/>
        <v/>
      </c>
      <c r="K110" s="26" t="str">
        <f t="shared" si="8"/>
        <v/>
      </c>
      <c r="L110" s="26" t="str">
        <f t="shared" si="9"/>
        <v/>
      </c>
      <c r="M110" s="26" t="str">
        <f t="shared" si="10"/>
        <v/>
      </c>
      <c r="N110" s="26" t="str">
        <f t="shared" si="11"/>
        <v/>
      </c>
      <c r="O110" s="26" t="str">
        <f t="shared" si="12"/>
        <v/>
      </c>
      <c r="P110" s="26" t="str">
        <f t="shared" si="13"/>
        <v/>
      </c>
      <c r="Q110" s="26" t="str">
        <f t="shared" si="14"/>
        <v/>
      </c>
      <c r="R110" s="26" t="str">
        <f t="shared" si="15"/>
        <v/>
      </c>
      <c r="S110" s="26" t="str">
        <f t="shared" si="16"/>
        <v/>
      </c>
      <c r="T110" s="26" t="str">
        <f t="shared" si="17"/>
        <v/>
      </c>
      <c r="U110" s="26" t="str">
        <f t="shared" si="18"/>
        <v/>
      </c>
      <c r="V110" s="26" t="str">
        <f t="shared" si="19"/>
        <v/>
      </c>
      <c r="W110" s="26" t="str">
        <f t="shared" si="20"/>
        <v/>
      </c>
      <c r="X110" s="26" t="str">
        <f t="shared" si="21"/>
        <v/>
      </c>
      <c r="Y110" s="26" t="str">
        <f t="shared" si="22"/>
        <v/>
      </c>
      <c r="Z110" s="26" t="str">
        <f t="shared" si="23"/>
        <v/>
      </c>
      <c r="AA110" s="26" t="str">
        <f t="shared" si="24"/>
        <v/>
      </c>
      <c r="AB110" s="26" t="str">
        <f t="shared" si="25"/>
        <v/>
      </c>
      <c r="AC110" s="26" t="str">
        <f t="shared" si="26"/>
        <v/>
      </c>
      <c r="BB110" s="5"/>
      <c r="BC110" s="5"/>
      <c r="BD110" s="5"/>
      <c r="BE110" s="5"/>
      <c r="BF110" s="5"/>
      <c r="BG110" s="5"/>
      <c r="BH110" s="5"/>
    </row>
    <row r="111" spans="1:60" s="2" customFormat="1">
      <c r="A111" s="70"/>
      <c r="BB111" s="5"/>
      <c r="BC111" s="5"/>
      <c r="BD111" s="5"/>
      <c r="BE111" s="5"/>
      <c r="BF111" s="5"/>
      <c r="BG111" s="5"/>
      <c r="BH111" s="5"/>
    </row>
    <row r="112" spans="1:60" s="2" customFormat="1">
      <c r="A112" s="70"/>
      <c r="AO112" s="2">
        <f>IF(A10,IF($A$17,$AO$6-0.75,-3),-10)</f>
        <v>-5.0000000000000044E-2</v>
      </c>
      <c r="AP112" s="2">
        <f>IF($A$17,$AP$6-0.6,-3)</f>
        <v>3.5100000000000002</v>
      </c>
      <c r="BB112" s="5"/>
      <c r="BC112" s="5"/>
      <c r="BD112" s="5"/>
      <c r="BE112" s="5"/>
      <c r="BF112" s="5"/>
      <c r="BG112" s="5"/>
      <c r="BH112" s="5"/>
    </row>
    <row r="113" spans="1:60" s="2" customFormat="1">
      <c r="A113" s="70"/>
      <c r="AO113" s="2">
        <f>IF(A13,IF($A$17,$AO$6-0.75,-3),-10)</f>
        <v>-5.0000000000000044E-2</v>
      </c>
      <c r="AP113" s="2">
        <f>IF($A$17,$AP$7-0.6,-3)</f>
        <v>7.7100000000000009</v>
      </c>
      <c r="BB113" s="5"/>
      <c r="BC113" s="5"/>
      <c r="BD113" s="5"/>
      <c r="BE113" s="5"/>
      <c r="BF113" s="5"/>
      <c r="BG113" s="5"/>
      <c r="BH113" s="5"/>
    </row>
    <row r="114" spans="1:60" s="2" customFormat="1">
      <c r="A114" s="70">
        <v>0</v>
      </c>
      <c r="B114" s="70"/>
      <c r="C114" s="70" t="e">
        <f t="shared" ref="C114:C138" si="27">IF(AND(AG$3,C$561&gt;0),E$17*COS($A114*PI()/180)+C$561,NA())</f>
        <v>#N/A</v>
      </c>
      <c r="D114" s="70" t="e">
        <f t="shared" ref="D114:D138" si="28">IF(AND(AG$3,C$561&gt;0),E$17*SIN($A114*PI()/180)+E$9,NA())</f>
        <v>#N/A</v>
      </c>
      <c r="F114" s="2" t="e">
        <f t="shared" ref="F114:F138" si="29">IF(AND(AH$3,I$561&gt;0),H$17*COS($A114*PI()/180)+I$561,NA())</f>
        <v>#N/A</v>
      </c>
      <c r="G114" s="2" t="e">
        <f t="shared" ref="G114:G138" si="30">IF(AND(AH$3,I$561&gt;0),H$17*SIN($A114*PI()/180)+H$9,NA())</f>
        <v>#N/A</v>
      </c>
      <c r="I114" s="2" t="e">
        <f>IF(AND(AK$3,L$561&gt;0),K$17*COS($A114*PI()/180)+L$561,NA())</f>
        <v>#N/A</v>
      </c>
      <c r="J114" s="2" t="e">
        <f>IF(AND(AK$3,L$561&gt;0),K$17*SIN($A114*PI()/180)+K$9,NA())</f>
        <v>#N/A</v>
      </c>
      <c r="L114" s="2" t="e">
        <f t="shared" ref="L114:L138" si="31">IF(AND(AJ$3,L$561&gt;0),N$17*COS($A114*PI()/180)+L$561,NA())</f>
        <v>#N/A</v>
      </c>
      <c r="M114" s="2" t="e">
        <f t="shared" ref="M114:M138" si="32">IF(AND(AJ$3,L$561&gt;0),N$17*SIN($A114*PI()/180)+N$9,NA())</f>
        <v>#N/A</v>
      </c>
      <c r="O114" s="2" t="e">
        <f t="shared" ref="O114:O138" si="33">IF(AND(AK$3,O$561&gt;0),Q$17*COS($A114*PI()/180)+O$561,NA())</f>
        <v>#N/A</v>
      </c>
      <c r="P114" s="2" t="e">
        <f t="shared" ref="P114:P138" si="34">IF(AND(AK$3,O$561&gt;0),Q$17*SIN($A114*PI()/180)+Q$9,NA())</f>
        <v>#N/A</v>
      </c>
      <c r="R114" s="2" t="e">
        <f t="shared" ref="R114:R138" si="35">IF(AND(AL$3,R$561&gt;0),T$17*COS($A114*PI()/180)+R$561,NA())</f>
        <v>#N/A</v>
      </c>
      <c r="S114" s="2" t="e">
        <f t="shared" ref="S114:S138" si="36">IF(AND(AL$3,R$561&gt;0),T$17*SIN($A114*PI()/180)+T$9,NA())</f>
        <v>#N/A</v>
      </c>
      <c r="U114" s="2" t="e">
        <f t="shared" ref="U114:U138" si="37">IF(AND(AM$3,U$561&gt;0),W$17*COS($A114*PI()/180)+U$561,NA())</f>
        <v>#N/A</v>
      </c>
      <c r="V114" s="2" t="e">
        <f t="shared" ref="V114:V138" si="38">IF(AND(AM$3,U$561&gt;0),W$17*SIN($A114*PI()/180)+W$9,NA())</f>
        <v>#N/A</v>
      </c>
      <c r="X114" s="2" t="e">
        <f t="shared" ref="X114:X138" si="39">IF(AND(AN$3,X$561&gt;0),Z$17*COS($A114*PI()/180)+X$561,NA())</f>
        <v>#N/A</v>
      </c>
      <c r="Y114" s="2" t="e">
        <f t="shared" ref="Y114:Y138" si="40">IF(AND(AN$3,X$561&gt;0),Z$17*SIN($A114*PI()/180)+Z$9,NA())</f>
        <v>#N/A</v>
      </c>
      <c r="AA114" s="2" t="e">
        <f t="shared" ref="AA114:AA138" si="41">IF(AND(AO$3,AA$561&gt;0),AC$17*COS($A114*PI()/180)+AA$561,NA())</f>
        <v>#N/A</v>
      </c>
      <c r="AB114" s="2" t="e">
        <f t="shared" ref="AB114:AB138" si="42">IF(AND(AO$3,AA$561&gt;0),AC$17*SIN($A114*PI()/180)+AC$9,NA())</f>
        <v>#N/A</v>
      </c>
      <c r="AO114" s="2">
        <f>IF(A8,IF($A$17,$AO$7-0.75,-3),-10)</f>
        <v>2.3499999999999996</v>
      </c>
      <c r="AP114" s="2">
        <f>IF($A$17,$AP$5-0.6,-3)</f>
        <v>-0.69</v>
      </c>
      <c r="BB114" s="5"/>
      <c r="BC114" s="5"/>
      <c r="BD114" s="5"/>
      <c r="BE114" s="5"/>
      <c r="BF114" s="5"/>
      <c r="BG114" s="5"/>
      <c r="BH114" s="5"/>
    </row>
    <row r="115" spans="1:60" s="2" customFormat="1">
      <c r="A115" s="70">
        <v>15</v>
      </c>
      <c r="B115" s="70"/>
      <c r="C115" s="70" t="e">
        <f t="shared" si="27"/>
        <v>#N/A</v>
      </c>
      <c r="D115" s="70" t="e">
        <f t="shared" si="28"/>
        <v>#N/A</v>
      </c>
      <c r="F115" s="2" t="e">
        <f t="shared" si="29"/>
        <v>#N/A</v>
      </c>
      <c r="G115" s="2" t="e">
        <f t="shared" si="30"/>
        <v>#N/A</v>
      </c>
      <c r="I115" s="2" t="e">
        <f t="shared" ref="I115:I138" si="43">IF(AND(AK$3,L$561&gt;0),K$17*COS($A115*PI()/180)+L$561,NA())</f>
        <v>#N/A</v>
      </c>
      <c r="J115" s="2" t="e">
        <f t="shared" ref="J115:J138" si="44">IF(AND(AK$3,L$561&gt;0),K$17*SIN($A115*PI()/180)+K$9,NA())</f>
        <v>#N/A</v>
      </c>
      <c r="L115" s="2" t="e">
        <f t="shared" si="31"/>
        <v>#N/A</v>
      </c>
      <c r="M115" s="2" t="e">
        <f t="shared" si="32"/>
        <v>#N/A</v>
      </c>
      <c r="O115" s="2" t="e">
        <f t="shared" si="33"/>
        <v>#N/A</v>
      </c>
      <c r="P115" s="2" t="e">
        <f t="shared" si="34"/>
        <v>#N/A</v>
      </c>
      <c r="R115" s="2" t="e">
        <f t="shared" si="35"/>
        <v>#N/A</v>
      </c>
      <c r="S115" s="2" t="e">
        <f t="shared" si="36"/>
        <v>#N/A</v>
      </c>
      <c r="U115" s="2" t="e">
        <f t="shared" si="37"/>
        <v>#N/A</v>
      </c>
      <c r="V115" s="2" t="e">
        <f t="shared" si="38"/>
        <v>#N/A</v>
      </c>
      <c r="X115" s="2" t="e">
        <f t="shared" si="39"/>
        <v>#N/A</v>
      </c>
      <c r="Y115" s="2" t="e">
        <f t="shared" si="40"/>
        <v>#N/A</v>
      </c>
      <c r="AA115" s="2" t="e">
        <f t="shared" si="41"/>
        <v>#N/A</v>
      </c>
      <c r="AB115" s="2" t="e">
        <f t="shared" si="42"/>
        <v>#N/A</v>
      </c>
      <c r="AO115" s="2">
        <f>IF(A11,IF($A$17,$AO$7-0.75,-3),-10)</f>
        <v>2.3499999999999996</v>
      </c>
      <c r="AP115" s="2">
        <f>IF($A$17,$AP$6-0.6,-3)</f>
        <v>3.5100000000000002</v>
      </c>
      <c r="BB115" s="5"/>
      <c r="BC115" s="5"/>
      <c r="BD115" s="5"/>
      <c r="BE115" s="5"/>
      <c r="BF115" s="5"/>
      <c r="BG115" s="5"/>
      <c r="BH115" s="5"/>
    </row>
    <row r="116" spans="1:60" s="2" customFormat="1">
      <c r="A116" s="70">
        <v>30</v>
      </c>
      <c r="B116" s="70"/>
      <c r="C116" s="70" t="e">
        <f t="shared" si="27"/>
        <v>#N/A</v>
      </c>
      <c r="D116" s="70" t="e">
        <f t="shared" si="28"/>
        <v>#N/A</v>
      </c>
      <c r="F116" s="2" t="e">
        <f t="shared" si="29"/>
        <v>#N/A</v>
      </c>
      <c r="G116" s="2" t="e">
        <f t="shared" si="30"/>
        <v>#N/A</v>
      </c>
      <c r="I116" s="2" t="e">
        <f t="shared" si="43"/>
        <v>#N/A</v>
      </c>
      <c r="J116" s="2" t="e">
        <f t="shared" si="44"/>
        <v>#N/A</v>
      </c>
      <c r="L116" s="2" t="e">
        <f t="shared" si="31"/>
        <v>#N/A</v>
      </c>
      <c r="M116" s="2" t="e">
        <f t="shared" si="32"/>
        <v>#N/A</v>
      </c>
      <c r="O116" s="2" t="e">
        <f t="shared" si="33"/>
        <v>#N/A</v>
      </c>
      <c r="P116" s="2" t="e">
        <f t="shared" si="34"/>
        <v>#N/A</v>
      </c>
      <c r="R116" s="2" t="e">
        <f t="shared" si="35"/>
        <v>#N/A</v>
      </c>
      <c r="S116" s="2" t="e">
        <f t="shared" si="36"/>
        <v>#N/A</v>
      </c>
      <c r="U116" s="2" t="e">
        <f t="shared" si="37"/>
        <v>#N/A</v>
      </c>
      <c r="V116" s="2" t="e">
        <f t="shared" si="38"/>
        <v>#N/A</v>
      </c>
      <c r="X116" s="2" t="e">
        <f t="shared" si="39"/>
        <v>#N/A</v>
      </c>
      <c r="Y116" s="2" t="e">
        <f t="shared" si="40"/>
        <v>#N/A</v>
      </c>
      <c r="AA116" s="2" t="e">
        <f t="shared" si="41"/>
        <v>#N/A</v>
      </c>
      <c r="AB116" s="2" t="e">
        <f t="shared" si="42"/>
        <v>#N/A</v>
      </c>
      <c r="AO116" s="2">
        <f>IF(A14,IF($A$17,$AO$7-0.75,-3),-10)</f>
        <v>2.3499999999999996</v>
      </c>
      <c r="AP116" s="2">
        <f>IF($A$17,$AP$7-0.6,-3)</f>
        <v>7.7100000000000009</v>
      </c>
      <c r="BB116" s="5"/>
      <c r="BC116" s="5"/>
      <c r="BD116" s="5"/>
      <c r="BE116" s="5"/>
      <c r="BF116" s="5"/>
      <c r="BG116" s="5"/>
      <c r="BH116" s="5"/>
    </row>
    <row r="117" spans="1:60" s="2" customFormat="1">
      <c r="A117" s="70">
        <v>45</v>
      </c>
      <c r="B117" s="70"/>
      <c r="C117" s="70" t="e">
        <f t="shared" si="27"/>
        <v>#N/A</v>
      </c>
      <c r="D117" s="70" t="e">
        <f t="shared" si="28"/>
        <v>#N/A</v>
      </c>
      <c r="F117" s="2" t="e">
        <f t="shared" si="29"/>
        <v>#N/A</v>
      </c>
      <c r="G117" s="2" t="e">
        <f t="shared" si="30"/>
        <v>#N/A</v>
      </c>
      <c r="I117" s="2" t="e">
        <f t="shared" si="43"/>
        <v>#N/A</v>
      </c>
      <c r="J117" s="2" t="e">
        <f t="shared" si="44"/>
        <v>#N/A</v>
      </c>
      <c r="L117" s="2" t="e">
        <f t="shared" si="31"/>
        <v>#N/A</v>
      </c>
      <c r="M117" s="2" t="e">
        <f t="shared" si="32"/>
        <v>#N/A</v>
      </c>
      <c r="O117" s="2" t="e">
        <f t="shared" si="33"/>
        <v>#N/A</v>
      </c>
      <c r="P117" s="2" t="e">
        <f t="shared" si="34"/>
        <v>#N/A</v>
      </c>
      <c r="R117" s="2" t="e">
        <f t="shared" si="35"/>
        <v>#N/A</v>
      </c>
      <c r="S117" s="2" t="e">
        <f t="shared" si="36"/>
        <v>#N/A</v>
      </c>
      <c r="U117" s="2" t="e">
        <f t="shared" si="37"/>
        <v>#N/A</v>
      </c>
      <c r="V117" s="2" t="e">
        <f t="shared" si="38"/>
        <v>#N/A</v>
      </c>
      <c r="X117" s="2" t="e">
        <f t="shared" si="39"/>
        <v>#N/A</v>
      </c>
      <c r="Y117" s="2" t="e">
        <f t="shared" si="40"/>
        <v>#N/A</v>
      </c>
      <c r="AA117" s="2" t="e">
        <f t="shared" si="41"/>
        <v>#N/A</v>
      </c>
      <c r="AB117" s="2" t="e">
        <f t="shared" si="42"/>
        <v>#N/A</v>
      </c>
      <c r="AN117" s="2" t="s">
        <v>7</v>
      </c>
      <c r="AO117" s="2">
        <f>IF(A6,IF($A$17,$AO$5-0.75,-3),-10)</f>
        <v>-2.4500000000000002</v>
      </c>
      <c r="AP117" s="2">
        <f>IF($A$17,$AP$5+0.6,-3)</f>
        <v>0.51</v>
      </c>
      <c r="BB117" s="5"/>
      <c r="BC117" s="5"/>
      <c r="BD117" s="5"/>
      <c r="BE117" s="5"/>
      <c r="BF117" s="5"/>
      <c r="BG117" s="5"/>
      <c r="BH117" s="5"/>
    </row>
    <row r="118" spans="1:60" s="2" customFormat="1">
      <c r="A118" s="70">
        <v>60</v>
      </c>
      <c r="B118" s="70"/>
      <c r="C118" s="70" t="e">
        <f t="shared" si="27"/>
        <v>#N/A</v>
      </c>
      <c r="D118" s="70" t="e">
        <f t="shared" si="28"/>
        <v>#N/A</v>
      </c>
      <c r="F118" s="2" t="e">
        <f t="shared" si="29"/>
        <v>#N/A</v>
      </c>
      <c r="G118" s="2" t="e">
        <f t="shared" si="30"/>
        <v>#N/A</v>
      </c>
      <c r="I118" s="2" t="e">
        <f t="shared" si="43"/>
        <v>#N/A</v>
      </c>
      <c r="J118" s="2" t="e">
        <f t="shared" si="44"/>
        <v>#N/A</v>
      </c>
      <c r="L118" s="2" t="e">
        <f t="shared" si="31"/>
        <v>#N/A</v>
      </c>
      <c r="M118" s="2" t="e">
        <f t="shared" si="32"/>
        <v>#N/A</v>
      </c>
      <c r="O118" s="2" t="e">
        <f t="shared" si="33"/>
        <v>#N/A</v>
      </c>
      <c r="P118" s="2" t="e">
        <f t="shared" si="34"/>
        <v>#N/A</v>
      </c>
      <c r="R118" s="2" t="e">
        <f t="shared" si="35"/>
        <v>#N/A</v>
      </c>
      <c r="S118" s="2" t="e">
        <f t="shared" si="36"/>
        <v>#N/A</v>
      </c>
      <c r="U118" s="2" t="e">
        <f t="shared" si="37"/>
        <v>#N/A</v>
      </c>
      <c r="V118" s="2" t="e">
        <f t="shared" si="38"/>
        <v>#N/A</v>
      </c>
      <c r="X118" s="2" t="e">
        <f t="shared" si="39"/>
        <v>#N/A</v>
      </c>
      <c r="Y118" s="2" t="e">
        <f t="shared" si="40"/>
        <v>#N/A</v>
      </c>
      <c r="AA118" s="2" t="e">
        <f t="shared" si="41"/>
        <v>#N/A</v>
      </c>
      <c r="AB118" s="2" t="e">
        <f t="shared" si="42"/>
        <v>#N/A</v>
      </c>
      <c r="AO118" s="2">
        <f>IF(A9,IF($A$17,$AO$5-0.75,-3),-10)</f>
        <v>-2.4500000000000002</v>
      </c>
      <c r="AP118" s="2">
        <f>IF($A$17,$AP$6+0.6,-3)</f>
        <v>4.71</v>
      </c>
      <c r="BB118" s="5"/>
      <c r="BC118" s="5"/>
      <c r="BD118" s="5"/>
      <c r="BE118" s="5"/>
      <c r="BF118" s="5"/>
      <c r="BG118" s="5"/>
      <c r="BH118" s="5"/>
    </row>
    <row r="119" spans="1:60" s="2" customFormat="1">
      <c r="A119" s="70">
        <v>75</v>
      </c>
      <c r="B119" s="70"/>
      <c r="C119" s="70" t="e">
        <f t="shared" si="27"/>
        <v>#N/A</v>
      </c>
      <c r="D119" s="70" t="e">
        <f t="shared" si="28"/>
        <v>#N/A</v>
      </c>
      <c r="F119" s="2" t="e">
        <f t="shared" si="29"/>
        <v>#N/A</v>
      </c>
      <c r="G119" s="2" t="e">
        <f t="shared" si="30"/>
        <v>#N/A</v>
      </c>
      <c r="I119" s="2" t="e">
        <f t="shared" si="43"/>
        <v>#N/A</v>
      </c>
      <c r="J119" s="2" t="e">
        <f t="shared" si="44"/>
        <v>#N/A</v>
      </c>
      <c r="L119" s="2" t="e">
        <f t="shared" si="31"/>
        <v>#N/A</v>
      </c>
      <c r="M119" s="2" t="e">
        <f t="shared" si="32"/>
        <v>#N/A</v>
      </c>
      <c r="O119" s="2" t="e">
        <f t="shared" si="33"/>
        <v>#N/A</v>
      </c>
      <c r="P119" s="2" t="e">
        <f t="shared" si="34"/>
        <v>#N/A</v>
      </c>
      <c r="R119" s="2" t="e">
        <f t="shared" si="35"/>
        <v>#N/A</v>
      </c>
      <c r="S119" s="2" t="e">
        <f t="shared" si="36"/>
        <v>#N/A</v>
      </c>
      <c r="U119" s="2" t="e">
        <f t="shared" si="37"/>
        <v>#N/A</v>
      </c>
      <c r="V119" s="2" t="e">
        <f t="shared" si="38"/>
        <v>#N/A</v>
      </c>
      <c r="X119" s="2" t="e">
        <f t="shared" si="39"/>
        <v>#N/A</v>
      </c>
      <c r="Y119" s="2" t="e">
        <f t="shared" si="40"/>
        <v>#N/A</v>
      </c>
      <c r="AA119" s="2" t="e">
        <f t="shared" si="41"/>
        <v>#N/A</v>
      </c>
      <c r="AB119" s="2" t="e">
        <f t="shared" si="42"/>
        <v>#N/A</v>
      </c>
      <c r="AO119" s="2">
        <f>IF(A12,IF($A$17,$AO$5-0.75,-3),-10)</f>
        <v>-2.4500000000000002</v>
      </c>
      <c r="AP119" s="2">
        <f>IF($A$17,$AP$7+0.6,-3)</f>
        <v>8.91</v>
      </c>
      <c r="BB119" s="5"/>
      <c r="BC119" s="5"/>
      <c r="BD119" s="5"/>
      <c r="BE119" s="5"/>
      <c r="BF119" s="5"/>
      <c r="BG119" s="5"/>
      <c r="BH119" s="5"/>
    </row>
    <row r="120" spans="1:60" s="2" customFormat="1">
      <c r="A120" s="70">
        <v>90</v>
      </c>
      <c r="B120" s="70"/>
      <c r="C120" s="70" t="e">
        <f t="shared" si="27"/>
        <v>#N/A</v>
      </c>
      <c r="D120" s="70" t="e">
        <f t="shared" si="28"/>
        <v>#N/A</v>
      </c>
      <c r="F120" s="2" t="e">
        <f t="shared" si="29"/>
        <v>#N/A</v>
      </c>
      <c r="G120" s="2" t="e">
        <f t="shared" si="30"/>
        <v>#N/A</v>
      </c>
      <c r="I120" s="2" t="e">
        <f t="shared" si="43"/>
        <v>#N/A</v>
      </c>
      <c r="J120" s="2" t="e">
        <f t="shared" si="44"/>
        <v>#N/A</v>
      </c>
      <c r="L120" s="2" t="e">
        <f t="shared" si="31"/>
        <v>#N/A</v>
      </c>
      <c r="M120" s="2" t="e">
        <f t="shared" si="32"/>
        <v>#N/A</v>
      </c>
      <c r="O120" s="2" t="e">
        <f t="shared" si="33"/>
        <v>#N/A</v>
      </c>
      <c r="P120" s="2" t="e">
        <f t="shared" si="34"/>
        <v>#N/A</v>
      </c>
      <c r="R120" s="2" t="e">
        <f t="shared" si="35"/>
        <v>#N/A</v>
      </c>
      <c r="S120" s="2" t="e">
        <f t="shared" si="36"/>
        <v>#N/A</v>
      </c>
      <c r="U120" s="2" t="e">
        <f t="shared" si="37"/>
        <v>#N/A</v>
      </c>
      <c r="V120" s="2" t="e">
        <f t="shared" si="38"/>
        <v>#N/A</v>
      </c>
      <c r="X120" s="2" t="e">
        <f t="shared" si="39"/>
        <v>#N/A</v>
      </c>
      <c r="Y120" s="2" t="e">
        <f t="shared" si="40"/>
        <v>#N/A</v>
      </c>
      <c r="AA120" s="2" t="e">
        <f t="shared" si="41"/>
        <v>#N/A</v>
      </c>
      <c r="AB120" s="2" t="e">
        <f t="shared" si="42"/>
        <v>#N/A</v>
      </c>
      <c r="AO120" s="2">
        <f>IF(A7,IF($A$17,$AO$6-0.75,-3),-10)</f>
        <v>-5.0000000000000044E-2</v>
      </c>
      <c r="AP120" s="2">
        <f>IF($A$17,$AP$5+0.6,-3)</f>
        <v>0.51</v>
      </c>
      <c r="BB120" s="5"/>
      <c r="BC120" s="5"/>
      <c r="BD120" s="5"/>
      <c r="BE120" s="5"/>
      <c r="BF120" s="5"/>
      <c r="BG120" s="5"/>
      <c r="BH120" s="5"/>
    </row>
    <row r="121" spans="1:60" s="2" customFormat="1">
      <c r="A121" s="70">
        <v>105</v>
      </c>
      <c r="B121" s="70"/>
      <c r="C121" s="70" t="e">
        <f t="shared" si="27"/>
        <v>#N/A</v>
      </c>
      <c r="D121" s="70" t="e">
        <f t="shared" si="28"/>
        <v>#N/A</v>
      </c>
      <c r="F121" s="2" t="e">
        <f t="shared" si="29"/>
        <v>#N/A</v>
      </c>
      <c r="G121" s="2" t="e">
        <f t="shared" si="30"/>
        <v>#N/A</v>
      </c>
      <c r="I121" s="2" t="e">
        <f t="shared" si="43"/>
        <v>#N/A</v>
      </c>
      <c r="J121" s="2" t="e">
        <f t="shared" si="44"/>
        <v>#N/A</v>
      </c>
      <c r="L121" s="2" t="e">
        <f t="shared" si="31"/>
        <v>#N/A</v>
      </c>
      <c r="M121" s="2" t="e">
        <f t="shared" si="32"/>
        <v>#N/A</v>
      </c>
      <c r="O121" s="2" t="e">
        <f t="shared" si="33"/>
        <v>#N/A</v>
      </c>
      <c r="P121" s="2" t="e">
        <f t="shared" si="34"/>
        <v>#N/A</v>
      </c>
      <c r="R121" s="2" t="e">
        <f t="shared" si="35"/>
        <v>#N/A</v>
      </c>
      <c r="S121" s="2" t="e">
        <f t="shared" si="36"/>
        <v>#N/A</v>
      </c>
      <c r="U121" s="2" t="e">
        <f t="shared" si="37"/>
        <v>#N/A</v>
      </c>
      <c r="V121" s="2" t="e">
        <f t="shared" si="38"/>
        <v>#N/A</v>
      </c>
      <c r="X121" s="2" t="e">
        <f t="shared" si="39"/>
        <v>#N/A</v>
      </c>
      <c r="Y121" s="2" t="e">
        <f t="shared" si="40"/>
        <v>#N/A</v>
      </c>
      <c r="AA121" s="2" t="e">
        <f t="shared" si="41"/>
        <v>#N/A</v>
      </c>
      <c r="AB121" s="2" t="e">
        <f t="shared" si="42"/>
        <v>#N/A</v>
      </c>
      <c r="AO121" s="2">
        <f>IF(A10,IF($A$17,$AO$6-0.75,-3),-10)</f>
        <v>-5.0000000000000044E-2</v>
      </c>
      <c r="AP121" s="2">
        <f>IF($A$17,$AP$6+0.6,-3)</f>
        <v>4.71</v>
      </c>
      <c r="BB121" s="5"/>
      <c r="BC121" s="5"/>
      <c r="BD121" s="5"/>
      <c r="BE121" s="5"/>
      <c r="BF121" s="5"/>
      <c r="BG121" s="5"/>
      <c r="BH121" s="5"/>
    </row>
    <row r="122" spans="1:60" s="2" customFormat="1">
      <c r="A122" s="70">
        <v>120</v>
      </c>
      <c r="B122" s="70"/>
      <c r="C122" s="70" t="e">
        <f t="shared" si="27"/>
        <v>#N/A</v>
      </c>
      <c r="D122" s="70" t="e">
        <f t="shared" si="28"/>
        <v>#N/A</v>
      </c>
      <c r="F122" s="2" t="e">
        <f t="shared" si="29"/>
        <v>#N/A</v>
      </c>
      <c r="G122" s="2" t="e">
        <f t="shared" si="30"/>
        <v>#N/A</v>
      </c>
      <c r="I122" s="2" t="e">
        <f t="shared" si="43"/>
        <v>#N/A</v>
      </c>
      <c r="J122" s="2" t="e">
        <f t="shared" si="44"/>
        <v>#N/A</v>
      </c>
      <c r="L122" s="2" t="e">
        <f t="shared" si="31"/>
        <v>#N/A</v>
      </c>
      <c r="M122" s="2" t="e">
        <f t="shared" si="32"/>
        <v>#N/A</v>
      </c>
      <c r="O122" s="2" t="e">
        <f t="shared" si="33"/>
        <v>#N/A</v>
      </c>
      <c r="P122" s="2" t="e">
        <f t="shared" si="34"/>
        <v>#N/A</v>
      </c>
      <c r="R122" s="2" t="e">
        <f t="shared" si="35"/>
        <v>#N/A</v>
      </c>
      <c r="S122" s="2" t="e">
        <f t="shared" si="36"/>
        <v>#N/A</v>
      </c>
      <c r="U122" s="2" t="e">
        <f t="shared" si="37"/>
        <v>#N/A</v>
      </c>
      <c r="V122" s="2" t="e">
        <f t="shared" si="38"/>
        <v>#N/A</v>
      </c>
      <c r="X122" s="2" t="e">
        <f t="shared" si="39"/>
        <v>#N/A</v>
      </c>
      <c r="Y122" s="2" t="e">
        <f t="shared" si="40"/>
        <v>#N/A</v>
      </c>
      <c r="AA122" s="2" t="e">
        <f t="shared" si="41"/>
        <v>#N/A</v>
      </c>
      <c r="AB122" s="2" t="e">
        <f t="shared" si="42"/>
        <v>#N/A</v>
      </c>
      <c r="AO122" s="2">
        <f>IF(A13,IF($A$17,$AO$6-0.75,-3),-10)</f>
        <v>-5.0000000000000044E-2</v>
      </c>
      <c r="AP122" s="2">
        <f>IF($A$17,$AP$7+0.6,-3)</f>
        <v>8.91</v>
      </c>
      <c r="BB122" s="5"/>
      <c r="BC122" s="5"/>
      <c r="BD122" s="5"/>
      <c r="BE122" s="5"/>
      <c r="BF122" s="5"/>
      <c r="BG122" s="5"/>
      <c r="BH122" s="5"/>
    </row>
    <row r="123" spans="1:60" s="2" customFormat="1">
      <c r="A123" s="70">
        <v>135</v>
      </c>
      <c r="B123" s="70"/>
      <c r="C123" s="70" t="e">
        <f t="shared" si="27"/>
        <v>#N/A</v>
      </c>
      <c r="D123" s="70" t="e">
        <f t="shared" si="28"/>
        <v>#N/A</v>
      </c>
      <c r="F123" s="2" t="e">
        <f t="shared" si="29"/>
        <v>#N/A</v>
      </c>
      <c r="G123" s="2" t="e">
        <f t="shared" si="30"/>
        <v>#N/A</v>
      </c>
      <c r="I123" s="2" t="e">
        <f t="shared" si="43"/>
        <v>#N/A</v>
      </c>
      <c r="J123" s="2" t="e">
        <f t="shared" si="44"/>
        <v>#N/A</v>
      </c>
      <c r="L123" s="2" t="e">
        <f t="shared" si="31"/>
        <v>#N/A</v>
      </c>
      <c r="M123" s="2" t="e">
        <f t="shared" si="32"/>
        <v>#N/A</v>
      </c>
      <c r="O123" s="2" t="e">
        <f t="shared" si="33"/>
        <v>#N/A</v>
      </c>
      <c r="P123" s="2" t="e">
        <f t="shared" si="34"/>
        <v>#N/A</v>
      </c>
      <c r="R123" s="2" t="e">
        <f t="shared" si="35"/>
        <v>#N/A</v>
      </c>
      <c r="S123" s="2" t="e">
        <f t="shared" si="36"/>
        <v>#N/A</v>
      </c>
      <c r="U123" s="2" t="e">
        <f t="shared" si="37"/>
        <v>#N/A</v>
      </c>
      <c r="V123" s="2" t="e">
        <f t="shared" si="38"/>
        <v>#N/A</v>
      </c>
      <c r="X123" s="2" t="e">
        <f t="shared" si="39"/>
        <v>#N/A</v>
      </c>
      <c r="Y123" s="2" t="e">
        <f t="shared" si="40"/>
        <v>#N/A</v>
      </c>
      <c r="AA123" s="2" t="e">
        <f t="shared" si="41"/>
        <v>#N/A</v>
      </c>
      <c r="AB123" s="2" t="e">
        <f t="shared" si="42"/>
        <v>#N/A</v>
      </c>
      <c r="AO123" s="2">
        <f>IF(A8,IF($A$17,$AO$7-0.75,-3),-10)</f>
        <v>2.3499999999999996</v>
      </c>
      <c r="AP123" s="2">
        <f>IF($A$17,$AP$5+0.6,-3)</f>
        <v>0.51</v>
      </c>
      <c r="BB123" s="5"/>
      <c r="BC123" s="5"/>
      <c r="BD123" s="5"/>
      <c r="BE123" s="5"/>
      <c r="BF123" s="5"/>
      <c r="BG123" s="5"/>
      <c r="BH123" s="5"/>
    </row>
    <row r="124" spans="1:60" s="2" customFormat="1">
      <c r="A124" s="70">
        <v>150</v>
      </c>
      <c r="B124" s="70"/>
      <c r="C124" s="70" t="e">
        <f t="shared" si="27"/>
        <v>#N/A</v>
      </c>
      <c r="D124" s="70" t="e">
        <f t="shared" si="28"/>
        <v>#N/A</v>
      </c>
      <c r="F124" s="2" t="e">
        <f t="shared" si="29"/>
        <v>#N/A</v>
      </c>
      <c r="G124" s="2" t="e">
        <f t="shared" si="30"/>
        <v>#N/A</v>
      </c>
      <c r="I124" s="2" t="e">
        <f t="shared" si="43"/>
        <v>#N/A</v>
      </c>
      <c r="J124" s="2" t="e">
        <f t="shared" si="44"/>
        <v>#N/A</v>
      </c>
      <c r="L124" s="2" t="e">
        <f t="shared" si="31"/>
        <v>#N/A</v>
      </c>
      <c r="M124" s="2" t="e">
        <f t="shared" si="32"/>
        <v>#N/A</v>
      </c>
      <c r="O124" s="2" t="e">
        <f t="shared" si="33"/>
        <v>#N/A</v>
      </c>
      <c r="P124" s="2" t="e">
        <f t="shared" si="34"/>
        <v>#N/A</v>
      </c>
      <c r="R124" s="2" t="e">
        <f t="shared" si="35"/>
        <v>#N/A</v>
      </c>
      <c r="S124" s="2" t="e">
        <f t="shared" si="36"/>
        <v>#N/A</v>
      </c>
      <c r="U124" s="2" t="e">
        <f t="shared" si="37"/>
        <v>#N/A</v>
      </c>
      <c r="V124" s="2" t="e">
        <f t="shared" si="38"/>
        <v>#N/A</v>
      </c>
      <c r="X124" s="2" t="e">
        <f t="shared" si="39"/>
        <v>#N/A</v>
      </c>
      <c r="Y124" s="2" t="e">
        <f t="shared" si="40"/>
        <v>#N/A</v>
      </c>
      <c r="AA124" s="2" t="e">
        <f t="shared" si="41"/>
        <v>#N/A</v>
      </c>
      <c r="AB124" s="2" t="e">
        <f t="shared" si="42"/>
        <v>#N/A</v>
      </c>
      <c r="AO124" s="2">
        <f>IF(A11,IF($A$17,$AO$7-0.75,-3),-10)</f>
        <v>2.3499999999999996</v>
      </c>
      <c r="AP124" s="2">
        <f>IF($A$17,$AP$6+0.6,-3)</f>
        <v>4.71</v>
      </c>
      <c r="BB124" s="5"/>
      <c r="BC124" s="5"/>
      <c r="BD124" s="5"/>
      <c r="BE124" s="5"/>
      <c r="BF124" s="5"/>
      <c r="BG124" s="5"/>
      <c r="BH124" s="5"/>
    </row>
    <row r="125" spans="1:60" s="2" customFormat="1">
      <c r="A125" s="70">
        <v>165</v>
      </c>
      <c r="B125" s="70"/>
      <c r="C125" s="70" t="e">
        <f t="shared" si="27"/>
        <v>#N/A</v>
      </c>
      <c r="D125" s="70" t="e">
        <f t="shared" si="28"/>
        <v>#N/A</v>
      </c>
      <c r="F125" s="2" t="e">
        <f t="shared" si="29"/>
        <v>#N/A</v>
      </c>
      <c r="G125" s="2" t="e">
        <f t="shared" si="30"/>
        <v>#N/A</v>
      </c>
      <c r="I125" s="2" t="e">
        <f t="shared" si="43"/>
        <v>#N/A</v>
      </c>
      <c r="J125" s="2" t="e">
        <f t="shared" si="44"/>
        <v>#N/A</v>
      </c>
      <c r="L125" s="2" t="e">
        <f t="shared" si="31"/>
        <v>#N/A</v>
      </c>
      <c r="M125" s="2" t="e">
        <f t="shared" si="32"/>
        <v>#N/A</v>
      </c>
      <c r="O125" s="2" t="e">
        <f t="shared" si="33"/>
        <v>#N/A</v>
      </c>
      <c r="P125" s="2" t="e">
        <f t="shared" si="34"/>
        <v>#N/A</v>
      </c>
      <c r="R125" s="2" t="e">
        <f t="shared" si="35"/>
        <v>#N/A</v>
      </c>
      <c r="S125" s="2" t="e">
        <f t="shared" si="36"/>
        <v>#N/A</v>
      </c>
      <c r="U125" s="2" t="e">
        <f t="shared" si="37"/>
        <v>#N/A</v>
      </c>
      <c r="V125" s="2" t="e">
        <f t="shared" si="38"/>
        <v>#N/A</v>
      </c>
      <c r="X125" s="2" t="e">
        <f t="shared" si="39"/>
        <v>#N/A</v>
      </c>
      <c r="Y125" s="2" t="e">
        <f t="shared" si="40"/>
        <v>#N/A</v>
      </c>
      <c r="AA125" s="2" t="e">
        <f t="shared" si="41"/>
        <v>#N/A</v>
      </c>
      <c r="AB125" s="2" t="e">
        <f t="shared" si="42"/>
        <v>#N/A</v>
      </c>
      <c r="AO125" s="2">
        <f>IF(A14,IF($A$17,$AO$7-0.75,-3),-10)</f>
        <v>2.3499999999999996</v>
      </c>
      <c r="AP125" s="2">
        <f>IF($A$17,$AP$7+0.6,-3)</f>
        <v>8.91</v>
      </c>
      <c r="BB125" s="5"/>
      <c r="BC125" s="5"/>
      <c r="BD125" s="5"/>
      <c r="BE125" s="5"/>
      <c r="BF125" s="5"/>
      <c r="BG125" s="5"/>
      <c r="BH125" s="5"/>
    </row>
    <row r="126" spans="1:60" s="2" customFormat="1">
      <c r="A126" s="70">
        <v>180</v>
      </c>
      <c r="B126" s="70"/>
      <c r="C126" s="70" t="e">
        <f t="shared" si="27"/>
        <v>#N/A</v>
      </c>
      <c r="D126" s="70" t="e">
        <f t="shared" si="28"/>
        <v>#N/A</v>
      </c>
      <c r="F126" s="2" t="e">
        <f t="shared" si="29"/>
        <v>#N/A</v>
      </c>
      <c r="G126" s="2" t="e">
        <f t="shared" si="30"/>
        <v>#N/A</v>
      </c>
      <c r="I126" s="2" t="e">
        <f t="shared" si="43"/>
        <v>#N/A</v>
      </c>
      <c r="J126" s="2" t="e">
        <f t="shared" si="44"/>
        <v>#N/A</v>
      </c>
      <c r="L126" s="2" t="e">
        <f t="shared" si="31"/>
        <v>#N/A</v>
      </c>
      <c r="M126" s="2" t="e">
        <f t="shared" si="32"/>
        <v>#N/A</v>
      </c>
      <c r="O126" s="2" t="e">
        <f t="shared" si="33"/>
        <v>#N/A</v>
      </c>
      <c r="P126" s="2" t="e">
        <f t="shared" si="34"/>
        <v>#N/A</v>
      </c>
      <c r="R126" s="2" t="e">
        <f t="shared" si="35"/>
        <v>#N/A</v>
      </c>
      <c r="S126" s="2" t="e">
        <f t="shared" si="36"/>
        <v>#N/A</v>
      </c>
      <c r="U126" s="2" t="e">
        <f t="shared" si="37"/>
        <v>#N/A</v>
      </c>
      <c r="V126" s="2" t="e">
        <f t="shared" si="38"/>
        <v>#N/A</v>
      </c>
      <c r="X126" s="2" t="e">
        <f t="shared" si="39"/>
        <v>#N/A</v>
      </c>
      <c r="Y126" s="2" t="e">
        <f t="shared" si="40"/>
        <v>#N/A</v>
      </c>
      <c r="AA126" s="2" t="e">
        <f t="shared" si="41"/>
        <v>#N/A</v>
      </c>
      <c r="AB126" s="2" t="e">
        <f t="shared" si="42"/>
        <v>#N/A</v>
      </c>
      <c r="BB126" s="5"/>
      <c r="BC126" s="5"/>
      <c r="BD126" s="5"/>
      <c r="BE126" s="5"/>
      <c r="BF126" s="5"/>
      <c r="BG126" s="5"/>
      <c r="BH126" s="5"/>
    </row>
    <row r="127" spans="1:60" s="2" customFormat="1">
      <c r="A127" s="70">
        <v>195</v>
      </c>
      <c r="B127" s="70"/>
      <c r="C127" s="70" t="e">
        <f t="shared" si="27"/>
        <v>#N/A</v>
      </c>
      <c r="D127" s="70" t="e">
        <f t="shared" si="28"/>
        <v>#N/A</v>
      </c>
      <c r="F127" s="2" t="e">
        <f t="shared" si="29"/>
        <v>#N/A</v>
      </c>
      <c r="G127" s="2" t="e">
        <f t="shared" si="30"/>
        <v>#N/A</v>
      </c>
      <c r="I127" s="2" t="e">
        <f t="shared" si="43"/>
        <v>#N/A</v>
      </c>
      <c r="J127" s="2" t="e">
        <f t="shared" si="44"/>
        <v>#N/A</v>
      </c>
      <c r="L127" s="2" t="e">
        <f t="shared" si="31"/>
        <v>#N/A</v>
      </c>
      <c r="M127" s="2" t="e">
        <f t="shared" si="32"/>
        <v>#N/A</v>
      </c>
      <c r="O127" s="2" t="e">
        <f t="shared" si="33"/>
        <v>#N/A</v>
      </c>
      <c r="P127" s="2" t="e">
        <f t="shared" si="34"/>
        <v>#N/A</v>
      </c>
      <c r="R127" s="2" t="e">
        <f t="shared" si="35"/>
        <v>#N/A</v>
      </c>
      <c r="S127" s="2" t="e">
        <f t="shared" si="36"/>
        <v>#N/A</v>
      </c>
      <c r="U127" s="2" t="e">
        <f t="shared" si="37"/>
        <v>#N/A</v>
      </c>
      <c r="V127" s="2" t="e">
        <f t="shared" si="38"/>
        <v>#N/A</v>
      </c>
      <c r="X127" s="2" t="e">
        <f t="shared" si="39"/>
        <v>#N/A</v>
      </c>
      <c r="Y127" s="2" t="e">
        <f t="shared" si="40"/>
        <v>#N/A</v>
      </c>
      <c r="AA127" s="2" t="e">
        <f t="shared" si="41"/>
        <v>#N/A</v>
      </c>
      <c r="AB127" s="2" t="e">
        <f t="shared" si="42"/>
        <v>#N/A</v>
      </c>
      <c r="BB127" s="5"/>
      <c r="BC127" s="5"/>
      <c r="BD127" s="5"/>
      <c r="BE127" s="5"/>
      <c r="BF127" s="5"/>
      <c r="BG127" s="5"/>
      <c r="BH127" s="5"/>
    </row>
    <row r="128" spans="1:60" s="2" customFormat="1">
      <c r="A128" s="70">
        <v>210</v>
      </c>
      <c r="B128" s="70"/>
      <c r="C128" s="70" t="e">
        <f t="shared" si="27"/>
        <v>#N/A</v>
      </c>
      <c r="D128" s="70" t="e">
        <f t="shared" si="28"/>
        <v>#N/A</v>
      </c>
      <c r="F128" s="2" t="e">
        <f t="shared" si="29"/>
        <v>#N/A</v>
      </c>
      <c r="G128" s="2" t="e">
        <f t="shared" si="30"/>
        <v>#N/A</v>
      </c>
      <c r="I128" s="2" t="e">
        <f t="shared" si="43"/>
        <v>#N/A</v>
      </c>
      <c r="J128" s="2" t="e">
        <f t="shared" si="44"/>
        <v>#N/A</v>
      </c>
      <c r="L128" s="2" t="e">
        <f t="shared" si="31"/>
        <v>#N/A</v>
      </c>
      <c r="M128" s="2" t="e">
        <f t="shared" si="32"/>
        <v>#N/A</v>
      </c>
      <c r="O128" s="2" t="e">
        <f t="shared" si="33"/>
        <v>#N/A</v>
      </c>
      <c r="P128" s="2" t="e">
        <f t="shared" si="34"/>
        <v>#N/A</v>
      </c>
      <c r="R128" s="2" t="e">
        <f t="shared" si="35"/>
        <v>#N/A</v>
      </c>
      <c r="S128" s="2" t="e">
        <f t="shared" si="36"/>
        <v>#N/A</v>
      </c>
      <c r="U128" s="2" t="e">
        <f t="shared" si="37"/>
        <v>#N/A</v>
      </c>
      <c r="V128" s="2" t="e">
        <f t="shared" si="38"/>
        <v>#N/A</v>
      </c>
      <c r="X128" s="2" t="e">
        <f t="shared" si="39"/>
        <v>#N/A</v>
      </c>
      <c r="Y128" s="2" t="e">
        <f t="shared" si="40"/>
        <v>#N/A</v>
      </c>
      <c r="AA128" s="2" t="e">
        <f t="shared" si="41"/>
        <v>#N/A</v>
      </c>
      <c r="AB128" s="2" t="e">
        <f t="shared" si="42"/>
        <v>#N/A</v>
      </c>
      <c r="BB128" s="5"/>
      <c r="BC128" s="5"/>
      <c r="BD128" s="5"/>
      <c r="BE128" s="5"/>
      <c r="BF128" s="5"/>
      <c r="BG128" s="5"/>
      <c r="BH128" s="5"/>
    </row>
    <row r="129" spans="1:60" s="2" customFormat="1">
      <c r="A129" s="70">
        <v>225</v>
      </c>
      <c r="B129" s="70"/>
      <c r="C129" s="70" t="e">
        <f t="shared" si="27"/>
        <v>#N/A</v>
      </c>
      <c r="D129" s="70" t="e">
        <f t="shared" si="28"/>
        <v>#N/A</v>
      </c>
      <c r="F129" s="2" t="e">
        <f t="shared" si="29"/>
        <v>#N/A</v>
      </c>
      <c r="G129" s="2" t="e">
        <f t="shared" si="30"/>
        <v>#N/A</v>
      </c>
      <c r="I129" s="2" t="e">
        <f t="shared" si="43"/>
        <v>#N/A</v>
      </c>
      <c r="J129" s="2" t="e">
        <f t="shared" si="44"/>
        <v>#N/A</v>
      </c>
      <c r="L129" s="2" t="e">
        <f t="shared" si="31"/>
        <v>#N/A</v>
      </c>
      <c r="M129" s="2" t="e">
        <f t="shared" si="32"/>
        <v>#N/A</v>
      </c>
      <c r="O129" s="2" t="e">
        <f t="shared" si="33"/>
        <v>#N/A</v>
      </c>
      <c r="P129" s="2" t="e">
        <f t="shared" si="34"/>
        <v>#N/A</v>
      </c>
      <c r="R129" s="2" t="e">
        <f t="shared" si="35"/>
        <v>#N/A</v>
      </c>
      <c r="S129" s="2" t="e">
        <f t="shared" si="36"/>
        <v>#N/A</v>
      </c>
      <c r="U129" s="2" t="e">
        <f t="shared" si="37"/>
        <v>#N/A</v>
      </c>
      <c r="V129" s="2" t="e">
        <f t="shared" si="38"/>
        <v>#N/A</v>
      </c>
      <c r="X129" s="2" t="e">
        <f t="shared" si="39"/>
        <v>#N/A</v>
      </c>
      <c r="Y129" s="2" t="e">
        <f t="shared" si="40"/>
        <v>#N/A</v>
      </c>
      <c r="AA129" s="2" t="e">
        <f t="shared" si="41"/>
        <v>#N/A</v>
      </c>
      <c r="AB129" s="2" t="e">
        <f t="shared" si="42"/>
        <v>#N/A</v>
      </c>
      <c r="BB129" s="5"/>
      <c r="BC129" s="5"/>
      <c r="BD129" s="5"/>
      <c r="BE129" s="5"/>
      <c r="BF129" s="5"/>
      <c r="BG129" s="5"/>
      <c r="BH129" s="5"/>
    </row>
    <row r="130" spans="1:60" s="2" customFormat="1">
      <c r="A130" s="70">
        <v>240</v>
      </c>
      <c r="B130" s="70"/>
      <c r="C130" s="70" t="e">
        <f t="shared" si="27"/>
        <v>#N/A</v>
      </c>
      <c r="D130" s="70" t="e">
        <f t="shared" si="28"/>
        <v>#N/A</v>
      </c>
      <c r="F130" s="2" t="e">
        <f t="shared" si="29"/>
        <v>#N/A</v>
      </c>
      <c r="G130" s="2" t="e">
        <f t="shared" si="30"/>
        <v>#N/A</v>
      </c>
      <c r="I130" s="2" t="e">
        <f t="shared" si="43"/>
        <v>#N/A</v>
      </c>
      <c r="J130" s="2" t="e">
        <f t="shared" si="44"/>
        <v>#N/A</v>
      </c>
      <c r="L130" s="2" t="e">
        <f t="shared" si="31"/>
        <v>#N/A</v>
      </c>
      <c r="M130" s="2" t="e">
        <f t="shared" si="32"/>
        <v>#N/A</v>
      </c>
      <c r="O130" s="2" t="e">
        <f t="shared" si="33"/>
        <v>#N/A</v>
      </c>
      <c r="P130" s="2" t="e">
        <f t="shared" si="34"/>
        <v>#N/A</v>
      </c>
      <c r="R130" s="2" t="e">
        <f t="shared" si="35"/>
        <v>#N/A</v>
      </c>
      <c r="S130" s="2" t="e">
        <f t="shared" si="36"/>
        <v>#N/A</v>
      </c>
      <c r="U130" s="2" t="e">
        <f t="shared" si="37"/>
        <v>#N/A</v>
      </c>
      <c r="V130" s="2" t="e">
        <f t="shared" si="38"/>
        <v>#N/A</v>
      </c>
      <c r="X130" s="2" t="e">
        <f t="shared" si="39"/>
        <v>#N/A</v>
      </c>
      <c r="Y130" s="2" t="e">
        <f t="shared" si="40"/>
        <v>#N/A</v>
      </c>
      <c r="AA130" s="2" t="e">
        <f t="shared" si="41"/>
        <v>#N/A</v>
      </c>
      <c r="AB130" s="2" t="e">
        <f t="shared" si="42"/>
        <v>#N/A</v>
      </c>
      <c r="BB130" s="5"/>
      <c r="BC130" s="5"/>
      <c r="BD130" s="5"/>
      <c r="BE130" s="5"/>
      <c r="BF130" s="5"/>
      <c r="BG130" s="5"/>
      <c r="BH130" s="5"/>
    </row>
    <row r="131" spans="1:60" s="2" customFormat="1">
      <c r="A131" s="70">
        <v>255</v>
      </c>
      <c r="B131" s="70"/>
      <c r="C131" s="70" t="e">
        <f t="shared" si="27"/>
        <v>#N/A</v>
      </c>
      <c r="D131" s="70" t="e">
        <f t="shared" si="28"/>
        <v>#N/A</v>
      </c>
      <c r="F131" s="2" t="e">
        <f t="shared" si="29"/>
        <v>#N/A</v>
      </c>
      <c r="G131" s="2" t="e">
        <f t="shared" si="30"/>
        <v>#N/A</v>
      </c>
      <c r="I131" s="2" t="e">
        <f t="shared" si="43"/>
        <v>#N/A</v>
      </c>
      <c r="J131" s="2" t="e">
        <f t="shared" si="44"/>
        <v>#N/A</v>
      </c>
      <c r="L131" s="2" t="e">
        <f t="shared" si="31"/>
        <v>#N/A</v>
      </c>
      <c r="M131" s="2" t="e">
        <f t="shared" si="32"/>
        <v>#N/A</v>
      </c>
      <c r="O131" s="2" t="e">
        <f t="shared" si="33"/>
        <v>#N/A</v>
      </c>
      <c r="P131" s="2" t="e">
        <f t="shared" si="34"/>
        <v>#N/A</v>
      </c>
      <c r="R131" s="2" t="e">
        <f t="shared" si="35"/>
        <v>#N/A</v>
      </c>
      <c r="S131" s="2" t="e">
        <f t="shared" si="36"/>
        <v>#N/A</v>
      </c>
      <c r="U131" s="2" t="e">
        <f t="shared" si="37"/>
        <v>#N/A</v>
      </c>
      <c r="V131" s="2" t="e">
        <f t="shared" si="38"/>
        <v>#N/A</v>
      </c>
      <c r="X131" s="2" t="e">
        <f t="shared" si="39"/>
        <v>#N/A</v>
      </c>
      <c r="Y131" s="2" t="e">
        <f t="shared" si="40"/>
        <v>#N/A</v>
      </c>
      <c r="AA131" s="2" t="e">
        <f t="shared" si="41"/>
        <v>#N/A</v>
      </c>
      <c r="AB131" s="2" t="e">
        <f t="shared" si="42"/>
        <v>#N/A</v>
      </c>
      <c r="BB131" s="5"/>
      <c r="BC131" s="5"/>
      <c r="BD131" s="5"/>
      <c r="BE131" s="5"/>
      <c r="BF131" s="5"/>
      <c r="BG131" s="5"/>
      <c r="BH131" s="5"/>
    </row>
    <row r="132" spans="1:60" s="2" customFormat="1">
      <c r="A132" s="70">
        <v>270</v>
      </c>
      <c r="B132" s="70"/>
      <c r="C132" s="70" t="e">
        <f t="shared" si="27"/>
        <v>#N/A</v>
      </c>
      <c r="D132" s="70" t="e">
        <f t="shared" si="28"/>
        <v>#N/A</v>
      </c>
      <c r="F132" s="2" t="e">
        <f t="shared" si="29"/>
        <v>#N/A</v>
      </c>
      <c r="G132" s="2" t="e">
        <f t="shared" si="30"/>
        <v>#N/A</v>
      </c>
      <c r="I132" s="2" t="e">
        <f t="shared" si="43"/>
        <v>#N/A</v>
      </c>
      <c r="J132" s="2" t="e">
        <f t="shared" si="44"/>
        <v>#N/A</v>
      </c>
      <c r="L132" s="2" t="e">
        <f t="shared" si="31"/>
        <v>#N/A</v>
      </c>
      <c r="M132" s="2" t="e">
        <f t="shared" si="32"/>
        <v>#N/A</v>
      </c>
      <c r="O132" s="2" t="e">
        <f t="shared" si="33"/>
        <v>#N/A</v>
      </c>
      <c r="P132" s="2" t="e">
        <f t="shared" si="34"/>
        <v>#N/A</v>
      </c>
      <c r="R132" s="2" t="e">
        <f t="shared" si="35"/>
        <v>#N/A</v>
      </c>
      <c r="S132" s="2" t="e">
        <f t="shared" si="36"/>
        <v>#N/A</v>
      </c>
      <c r="U132" s="2" t="e">
        <f t="shared" si="37"/>
        <v>#N/A</v>
      </c>
      <c r="V132" s="2" t="e">
        <f t="shared" si="38"/>
        <v>#N/A</v>
      </c>
      <c r="X132" s="2" t="e">
        <f t="shared" si="39"/>
        <v>#N/A</v>
      </c>
      <c r="Y132" s="2" t="e">
        <f t="shared" si="40"/>
        <v>#N/A</v>
      </c>
      <c r="AA132" s="2" t="e">
        <f t="shared" si="41"/>
        <v>#N/A</v>
      </c>
      <c r="AB132" s="2" t="e">
        <f t="shared" si="42"/>
        <v>#N/A</v>
      </c>
      <c r="BB132" s="5"/>
      <c r="BC132" s="5"/>
      <c r="BD132" s="5"/>
      <c r="BE132" s="5"/>
      <c r="BF132" s="5"/>
      <c r="BG132" s="5"/>
      <c r="BH132" s="5"/>
    </row>
    <row r="133" spans="1:60" s="2" customFormat="1">
      <c r="A133" s="70">
        <v>285</v>
      </c>
      <c r="B133" s="70"/>
      <c r="C133" s="70" t="e">
        <f t="shared" si="27"/>
        <v>#N/A</v>
      </c>
      <c r="D133" s="70" t="e">
        <f t="shared" si="28"/>
        <v>#N/A</v>
      </c>
      <c r="F133" s="2" t="e">
        <f t="shared" si="29"/>
        <v>#N/A</v>
      </c>
      <c r="G133" s="2" t="e">
        <f t="shared" si="30"/>
        <v>#N/A</v>
      </c>
      <c r="I133" s="2" t="e">
        <f t="shared" si="43"/>
        <v>#N/A</v>
      </c>
      <c r="J133" s="2" t="e">
        <f t="shared" si="44"/>
        <v>#N/A</v>
      </c>
      <c r="L133" s="2" t="e">
        <f t="shared" si="31"/>
        <v>#N/A</v>
      </c>
      <c r="M133" s="2" t="e">
        <f t="shared" si="32"/>
        <v>#N/A</v>
      </c>
      <c r="O133" s="2" t="e">
        <f t="shared" si="33"/>
        <v>#N/A</v>
      </c>
      <c r="P133" s="2" t="e">
        <f t="shared" si="34"/>
        <v>#N/A</v>
      </c>
      <c r="R133" s="2" t="e">
        <f t="shared" si="35"/>
        <v>#N/A</v>
      </c>
      <c r="S133" s="2" t="e">
        <f t="shared" si="36"/>
        <v>#N/A</v>
      </c>
      <c r="U133" s="2" t="e">
        <f t="shared" si="37"/>
        <v>#N/A</v>
      </c>
      <c r="V133" s="2" t="e">
        <f t="shared" si="38"/>
        <v>#N/A</v>
      </c>
      <c r="X133" s="2" t="e">
        <f t="shared" si="39"/>
        <v>#N/A</v>
      </c>
      <c r="Y133" s="2" t="e">
        <f t="shared" si="40"/>
        <v>#N/A</v>
      </c>
      <c r="AA133" s="2" t="e">
        <f t="shared" si="41"/>
        <v>#N/A</v>
      </c>
      <c r="AB133" s="2" t="e">
        <f t="shared" si="42"/>
        <v>#N/A</v>
      </c>
      <c r="BB133" s="5"/>
      <c r="BC133" s="5"/>
      <c r="BD133" s="5"/>
      <c r="BE133" s="5"/>
      <c r="BF133" s="5"/>
      <c r="BG133" s="5"/>
      <c r="BH133" s="5"/>
    </row>
    <row r="134" spans="1:60" s="2" customFormat="1">
      <c r="A134" s="70">
        <v>300</v>
      </c>
      <c r="B134" s="70"/>
      <c r="C134" s="70" t="e">
        <f t="shared" si="27"/>
        <v>#N/A</v>
      </c>
      <c r="D134" s="70" t="e">
        <f t="shared" si="28"/>
        <v>#N/A</v>
      </c>
      <c r="F134" s="2" t="e">
        <f t="shared" si="29"/>
        <v>#N/A</v>
      </c>
      <c r="G134" s="2" t="e">
        <f t="shared" si="30"/>
        <v>#N/A</v>
      </c>
      <c r="I134" s="2" t="e">
        <f t="shared" si="43"/>
        <v>#N/A</v>
      </c>
      <c r="J134" s="2" t="e">
        <f t="shared" si="44"/>
        <v>#N/A</v>
      </c>
      <c r="L134" s="2" t="e">
        <f t="shared" si="31"/>
        <v>#N/A</v>
      </c>
      <c r="M134" s="2" t="e">
        <f t="shared" si="32"/>
        <v>#N/A</v>
      </c>
      <c r="O134" s="2" t="e">
        <f t="shared" si="33"/>
        <v>#N/A</v>
      </c>
      <c r="P134" s="2" t="e">
        <f t="shared" si="34"/>
        <v>#N/A</v>
      </c>
      <c r="R134" s="2" t="e">
        <f t="shared" si="35"/>
        <v>#N/A</v>
      </c>
      <c r="S134" s="2" t="e">
        <f t="shared" si="36"/>
        <v>#N/A</v>
      </c>
      <c r="U134" s="2" t="e">
        <f t="shared" si="37"/>
        <v>#N/A</v>
      </c>
      <c r="V134" s="2" t="e">
        <f t="shared" si="38"/>
        <v>#N/A</v>
      </c>
      <c r="X134" s="2" t="e">
        <f t="shared" si="39"/>
        <v>#N/A</v>
      </c>
      <c r="Y134" s="2" t="e">
        <f t="shared" si="40"/>
        <v>#N/A</v>
      </c>
      <c r="AA134" s="2" t="e">
        <f t="shared" si="41"/>
        <v>#N/A</v>
      </c>
      <c r="AB134" s="2" t="e">
        <f t="shared" si="42"/>
        <v>#N/A</v>
      </c>
      <c r="BB134" s="5"/>
      <c r="BC134" s="5"/>
      <c r="BD134" s="5"/>
      <c r="BE134" s="5"/>
      <c r="BF134" s="5"/>
      <c r="BG134" s="5"/>
      <c r="BH134" s="5"/>
    </row>
    <row r="135" spans="1:60" s="2" customFormat="1">
      <c r="A135" s="70">
        <v>315</v>
      </c>
      <c r="B135" s="70"/>
      <c r="C135" s="70" t="e">
        <f t="shared" si="27"/>
        <v>#N/A</v>
      </c>
      <c r="D135" s="70" t="e">
        <f t="shared" si="28"/>
        <v>#N/A</v>
      </c>
      <c r="F135" s="2" t="e">
        <f t="shared" si="29"/>
        <v>#N/A</v>
      </c>
      <c r="G135" s="2" t="e">
        <f t="shared" si="30"/>
        <v>#N/A</v>
      </c>
      <c r="I135" s="2" t="e">
        <f t="shared" si="43"/>
        <v>#N/A</v>
      </c>
      <c r="J135" s="2" t="e">
        <f t="shared" si="44"/>
        <v>#N/A</v>
      </c>
      <c r="L135" s="2" t="e">
        <f t="shared" si="31"/>
        <v>#N/A</v>
      </c>
      <c r="M135" s="2" t="e">
        <f t="shared" si="32"/>
        <v>#N/A</v>
      </c>
      <c r="O135" s="2" t="e">
        <f t="shared" si="33"/>
        <v>#N/A</v>
      </c>
      <c r="P135" s="2" t="e">
        <f t="shared" si="34"/>
        <v>#N/A</v>
      </c>
      <c r="R135" s="2" t="e">
        <f t="shared" si="35"/>
        <v>#N/A</v>
      </c>
      <c r="S135" s="2" t="e">
        <f t="shared" si="36"/>
        <v>#N/A</v>
      </c>
      <c r="U135" s="2" t="e">
        <f t="shared" si="37"/>
        <v>#N/A</v>
      </c>
      <c r="V135" s="2" t="e">
        <f t="shared" si="38"/>
        <v>#N/A</v>
      </c>
      <c r="X135" s="2" t="e">
        <f t="shared" si="39"/>
        <v>#N/A</v>
      </c>
      <c r="Y135" s="2" t="e">
        <f t="shared" si="40"/>
        <v>#N/A</v>
      </c>
      <c r="AA135" s="2" t="e">
        <f t="shared" si="41"/>
        <v>#N/A</v>
      </c>
      <c r="AB135" s="2" t="e">
        <f t="shared" si="42"/>
        <v>#N/A</v>
      </c>
      <c r="BB135" s="5"/>
      <c r="BC135" s="5"/>
      <c r="BD135" s="5"/>
      <c r="BE135" s="5"/>
      <c r="BF135" s="5"/>
      <c r="BG135" s="5"/>
      <c r="BH135" s="5"/>
    </row>
    <row r="136" spans="1:60" s="2" customFormat="1">
      <c r="A136" s="70">
        <v>330</v>
      </c>
      <c r="B136" s="70"/>
      <c r="C136" s="70" t="e">
        <f t="shared" si="27"/>
        <v>#N/A</v>
      </c>
      <c r="D136" s="70" t="e">
        <f t="shared" si="28"/>
        <v>#N/A</v>
      </c>
      <c r="F136" s="2" t="e">
        <f t="shared" si="29"/>
        <v>#N/A</v>
      </c>
      <c r="G136" s="2" t="e">
        <f t="shared" si="30"/>
        <v>#N/A</v>
      </c>
      <c r="I136" s="2" t="e">
        <f t="shared" si="43"/>
        <v>#N/A</v>
      </c>
      <c r="J136" s="2" t="e">
        <f t="shared" si="44"/>
        <v>#N/A</v>
      </c>
      <c r="L136" s="2" t="e">
        <f t="shared" si="31"/>
        <v>#N/A</v>
      </c>
      <c r="M136" s="2" t="e">
        <f t="shared" si="32"/>
        <v>#N/A</v>
      </c>
      <c r="O136" s="2" t="e">
        <f t="shared" si="33"/>
        <v>#N/A</v>
      </c>
      <c r="P136" s="2" t="e">
        <f t="shared" si="34"/>
        <v>#N/A</v>
      </c>
      <c r="R136" s="2" t="e">
        <f t="shared" si="35"/>
        <v>#N/A</v>
      </c>
      <c r="S136" s="2" t="e">
        <f t="shared" si="36"/>
        <v>#N/A</v>
      </c>
      <c r="U136" s="2" t="e">
        <f t="shared" si="37"/>
        <v>#N/A</v>
      </c>
      <c r="V136" s="2" t="e">
        <f t="shared" si="38"/>
        <v>#N/A</v>
      </c>
      <c r="X136" s="2" t="e">
        <f t="shared" si="39"/>
        <v>#N/A</v>
      </c>
      <c r="Y136" s="2" t="e">
        <f t="shared" si="40"/>
        <v>#N/A</v>
      </c>
      <c r="AA136" s="2" t="e">
        <f t="shared" si="41"/>
        <v>#N/A</v>
      </c>
      <c r="AB136" s="2" t="e">
        <f t="shared" si="42"/>
        <v>#N/A</v>
      </c>
      <c r="BB136" s="5"/>
      <c r="BC136" s="5"/>
      <c r="BD136" s="5"/>
      <c r="BE136" s="5"/>
      <c r="BF136" s="5"/>
      <c r="BG136" s="5"/>
      <c r="BH136" s="5"/>
    </row>
    <row r="137" spans="1:60" s="2" customFormat="1">
      <c r="A137" s="70">
        <v>345</v>
      </c>
      <c r="B137" s="70"/>
      <c r="C137" s="70" t="e">
        <f t="shared" si="27"/>
        <v>#N/A</v>
      </c>
      <c r="D137" s="70" t="e">
        <f t="shared" si="28"/>
        <v>#N/A</v>
      </c>
      <c r="F137" s="2" t="e">
        <f t="shared" si="29"/>
        <v>#N/A</v>
      </c>
      <c r="G137" s="2" t="e">
        <f t="shared" si="30"/>
        <v>#N/A</v>
      </c>
      <c r="I137" s="2" t="e">
        <f t="shared" si="43"/>
        <v>#N/A</v>
      </c>
      <c r="J137" s="2" t="e">
        <f t="shared" si="44"/>
        <v>#N/A</v>
      </c>
      <c r="L137" s="2" t="e">
        <f t="shared" si="31"/>
        <v>#N/A</v>
      </c>
      <c r="M137" s="2" t="e">
        <f t="shared" si="32"/>
        <v>#N/A</v>
      </c>
      <c r="O137" s="2" t="e">
        <f t="shared" si="33"/>
        <v>#N/A</v>
      </c>
      <c r="P137" s="2" t="e">
        <f t="shared" si="34"/>
        <v>#N/A</v>
      </c>
      <c r="R137" s="2" t="e">
        <f t="shared" si="35"/>
        <v>#N/A</v>
      </c>
      <c r="S137" s="2" t="e">
        <f t="shared" si="36"/>
        <v>#N/A</v>
      </c>
      <c r="U137" s="2" t="e">
        <f t="shared" si="37"/>
        <v>#N/A</v>
      </c>
      <c r="V137" s="2" t="e">
        <f t="shared" si="38"/>
        <v>#N/A</v>
      </c>
      <c r="X137" s="2" t="e">
        <f t="shared" si="39"/>
        <v>#N/A</v>
      </c>
      <c r="Y137" s="2" t="e">
        <f t="shared" si="40"/>
        <v>#N/A</v>
      </c>
      <c r="AA137" s="2" t="e">
        <f t="shared" si="41"/>
        <v>#N/A</v>
      </c>
      <c r="AB137" s="2" t="e">
        <f t="shared" si="42"/>
        <v>#N/A</v>
      </c>
      <c r="BB137" s="5"/>
      <c r="BC137" s="5"/>
      <c r="BD137" s="5"/>
      <c r="BE137" s="5"/>
      <c r="BF137" s="5"/>
      <c r="BG137" s="5"/>
      <c r="BH137" s="5"/>
    </row>
    <row r="138" spans="1:60" s="2" customFormat="1">
      <c r="A138" s="70">
        <v>360</v>
      </c>
      <c r="B138" s="70"/>
      <c r="C138" s="70" t="e">
        <f t="shared" si="27"/>
        <v>#N/A</v>
      </c>
      <c r="D138" s="70" t="e">
        <f t="shared" si="28"/>
        <v>#N/A</v>
      </c>
      <c r="F138" s="2" t="e">
        <f t="shared" si="29"/>
        <v>#N/A</v>
      </c>
      <c r="G138" s="2" t="e">
        <f t="shared" si="30"/>
        <v>#N/A</v>
      </c>
      <c r="I138" s="2" t="e">
        <f t="shared" si="43"/>
        <v>#N/A</v>
      </c>
      <c r="J138" s="2" t="e">
        <f t="shared" si="44"/>
        <v>#N/A</v>
      </c>
      <c r="L138" s="2" t="e">
        <f t="shared" si="31"/>
        <v>#N/A</v>
      </c>
      <c r="M138" s="2" t="e">
        <f t="shared" si="32"/>
        <v>#N/A</v>
      </c>
      <c r="O138" s="2" t="e">
        <f t="shared" si="33"/>
        <v>#N/A</v>
      </c>
      <c r="P138" s="2" t="e">
        <f t="shared" si="34"/>
        <v>#N/A</v>
      </c>
      <c r="R138" s="2" t="e">
        <f t="shared" si="35"/>
        <v>#N/A</v>
      </c>
      <c r="S138" s="2" t="e">
        <f t="shared" si="36"/>
        <v>#N/A</v>
      </c>
      <c r="U138" s="2" t="e">
        <f t="shared" si="37"/>
        <v>#N/A</v>
      </c>
      <c r="V138" s="2" t="e">
        <f t="shared" si="38"/>
        <v>#N/A</v>
      </c>
      <c r="X138" s="2" t="e">
        <f t="shared" si="39"/>
        <v>#N/A</v>
      </c>
      <c r="Y138" s="2" t="e">
        <f t="shared" si="40"/>
        <v>#N/A</v>
      </c>
      <c r="AA138" s="2" t="e">
        <f t="shared" si="41"/>
        <v>#N/A</v>
      </c>
      <c r="AB138" s="2" t="e">
        <f t="shared" si="42"/>
        <v>#N/A</v>
      </c>
      <c r="BB138" s="5"/>
      <c r="BC138" s="5"/>
      <c r="BD138" s="5"/>
      <c r="BE138" s="5"/>
      <c r="BF138" s="5"/>
      <c r="BG138" s="5"/>
      <c r="BH138" s="5"/>
    </row>
    <row r="139" spans="1:60" s="2" customFormat="1">
      <c r="A139" s="70"/>
      <c r="BB139" s="5"/>
      <c r="BC139" s="5"/>
      <c r="BD139" s="5"/>
      <c r="BE139" s="5"/>
      <c r="BF139" s="5"/>
      <c r="BG139" s="5"/>
      <c r="BH139" s="5"/>
    </row>
    <row r="140" spans="1:60" s="2" customFormat="1">
      <c r="A140" s="70">
        <v>0</v>
      </c>
      <c r="B140" s="70">
        <v>2</v>
      </c>
      <c r="C140" s="70" t="e">
        <f t="shared" ref="C140:C164" si="45">IF(AND(AG$3,C$562&gt;0),(E$17)*COS($A140*PI()/180)+C$562,NA())</f>
        <v>#N/A</v>
      </c>
      <c r="D140" s="70" t="e">
        <f t="shared" ref="D140:D164" si="46">IF(AND(AG$3,C$562&gt;0),(E$17)*SIN($A140*PI()/180)+E$10,NA())</f>
        <v>#N/A</v>
      </c>
      <c r="F140" s="2" t="e">
        <f t="shared" ref="F140:F164" si="47">IF(AND(AH$3,F$562&gt;0),(H$17)*COS($A140*PI()/180)+F$562,NA())</f>
        <v>#N/A</v>
      </c>
      <c r="G140" s="2" t="e">
        <f t="shared" ref="G140:G164" si="48">IF(AND(AH$3,F$562&gt;0),(H$17)*SIN($A140*PI()/180)+H$10,NA())</f>
        <v>#N/A</v>
      </c>
      <c r="I140" s="2" t="e">
        <f t="shared" ref="I140:I164" si="49">IF(AND(AI$3,I$562&gt;0),(K$17)*COS($A140*PI()/180)+I$562,NA())</f>
        <v>#N/A</v>
      </c>
      <c r="J140" s="2" t="e">
        <f t="shared" ref="J140:J164" si="50">IF(AND(AI$3,I$562&gt;0),(K$17)*SIN($A140*PI()/180)+K$10,NA())</f>
        <v>#N/A</v>
      </c>
      <c r="L140" s="2" t="e">
        <f t="shared" ref="L140:L164" si="51">IF(AND(AJ$3,L$562&gt;0),(N$17)*COS($A140*PI()/180)+L$562,NA())</f>
        <v>#N/A</v>
      </c>
      <c r="M140" s="2" t="e">
        <f t="shared" ref="M140:M164" si="52">IF(AND(AJ$3,L$562&gt;0),(N$17)*SIN($A140*PI()/180)+N$10,NA())</f>
        <v>#N/A</v>
      </c>
      <c r="O140" s="2" t="e">
        <f t="shared" ref="O140:O164" si="53">IF(AND(AK$3,O$562&gt;0),(Q$17)*COS($A140*PI()/180)+O$562,NA())</f>
        <v>#N/A</v>
      </c>
      <c r="P140" s="2" t="e">
        <f t="shared" ref="P140:P164" si="54">IF(AND(AK$3,O$562&gt;0),(Q$17)*SIN($A140*PI()/180)+Q$10,NA())</f>
        <v>#N/A</v>
      </c>
      <c r="R140" s="2" t="e">
        <f t="shared" ref="R140:R164" si="55">IF(AND(AL$3,R$562&gt;0),(T$17)*COS($A140*PI()/180)+R$562,NA())</f>
        <v>#N/A</v>
      </c>
      <c r="S140" s="2" t="e">
        <f t="shared" ref="S140:S164" si="56">IF(AND(AL$3,R$562&gt;0),(T$17)*SIN($A140*PI()/180)+T$10,NA())</f>
        <v>#N/A</v>
      </c>
      <c r="U140" s="2" t="e">
        <f t="shared" ref="U140:U164" si="57">IF(AND(AM$3,U$562&gt;0),(W$17)*COS($A140*PI()/180)+U$562,NA())</f>
        <v>#N/A</v>
      </c>
      <c r="V140" s="2" t="e">
        <f t="shared" ref="V140:V164" si="58">IF(AND(AM$3,U$562&gt;0),(W$17)*SIN($A140*PI()/180)+W$10,NA())</f>
        <v>#N/A</v>
      </c>
      <c r="X140" s="2" t="e">
        <f t="shared" ref="X140:X164" si="59">IF(AND(AN$3,X$562&gt;0),(Z$17)*COS($A140*PI()/180)+X$562,NA())</f>
        <v>#N/A</v>
      </c>
      <c r="Y140" s="2" t="e">
        <f t="shared" ref="Y140:Y164" si="60">IF(AND(AN$3,X$562&gt;0),(Z$17)*SIN($A140*PI()/180)+Z$10,NA())</f>
        <v>#N/A</v>
      </c>
      <c r="AA140" s="2" t="e">
        <f t="shared" ref="AA140:AA164" si="61">IF(AND(AO$3,AA$562&gt;0),(AC$17)*COS($A140*PI()/180)+AA$562,NA())</f>
        <v>#N/A</v>
      </c>
      <c r="AB140" s="2" t="e">
        <f t="shared" ref="AB140:AB164" si="62">IF(AND(AO$3,AA$562&gt;0),(AC$17)*SIN($A140*PI()/180)+AC$10,NA())</f>
        <v>#N/A</v>
      </c>
      <c r="BB140" s="5"/>
      <c r="BC140" s="5"/>
      <c r="BD140" s="5"/>
      <c r="BE140" s="5"/>
      <c r="BF140" s="5"/>
      <c r="BG140" s="5"/>
      <c r="BH140" s="5"/>
    </row>
    <row r="141" spans="1:60" s="2" customFormat="1">
      <c r="A141" s="70">
        <v>15</v>
      </c>
      <c r="B141" s="70"/>
      <c r="C141" s="70" t="e">
        <f t="shared" si="45"/>
        <v>#N/A</v>
      </c>
      <c r="D141" s="70" t="e">
        <f t="shared" si="46"/>
        <v>#N/A</v>
      </c>
      <c r="F141" s="2" t="e">
        <f t="shared" si="47"/>
        <v>#N/A</v>
      </c>
      <c r="G141" s="2" t="e">
        <f t="shared" si="48"/>
        <v>#N/A</v>
      </c>
      <c r="I141" s="2" t="e">
        <f t="shared" si="49"/>
        <v>#N/A</v>
      </c>
      <c r="J141" s="2" t="e">
        <f t="shared" si="50"/>
        <v>#N/A</v>
      </c>
      <c r="L141" s="2" t="e">
        <f t="shared" si="51"/>
        <v>#N/A</v>
      </c>
      <c r="M141" s="2" t="e">
        <f t="shared" si="52"/>
        <v>#N/A</v>
      </c>
      <c r="O141" s="2" t="e">
        <f t="shared" si="53"/>
        <v>#N/A</v>
      </c>
      <c r="P141" s="2" t="e">
        <f t="shared" si="54"/>
        <v>#N/A</v>
      </c>
      <c r="R141" s="2" t="e">
        <f t="shared" si="55"/>
        <v>#N/A</v>
      </c>
      <c r="S141" s="2" t="e">
        <f t="shared" si="56"/>
        <v>#N/A</v>
      </c>
      <c r="U141" s="2" t="e">
        <f t="shared" si="57"/>
        <v>#N/A</v>
      </c>
      <c r="V141" s="2" t="e">
        <f t="shared" si="58"/>
        <v>#N/A</v>
      </c>
      <c r="X141" s="2" t="e">
        <f t="shared" si="59"/>
        <v>#N/A</v>
      </c>
      <c r="Y141" s="2" t="e">
        <f t="shared" si="60"/>
        <v>#N/A</v>
      </c>
      <c r="AA141" s="2" t="e">
        <f t="shared" si="61"/>
        <v>#N/A</v>
      </c>
      <c r="AB141" s="2" t="e">
        <f t="shared" si="62"/>
        <v>#N/A</v>
      </c>
      <c r="BB141" s="5"/>
      <c r="BC141" s="5"/>
      <c r="BD141" s="5"/>
      <c r="BE141" s="5"/>
      <c r="BF141" s="5"/>
      <c r="BG141" s="5"/>
      <c r="BH141" s="5"/>
    </row>
    <row r="142" spans="1:60" s="2" customFormat="1">
      <c r="A142" s="70">
        <v>30</v>
      </c>
      <c r="B142" s="70"/>
      <c r="C142" s="70" t="e">
        <f t="shared" si="45"/>
        <v>#N/A</v>
      </c>
      <c r="D142" s="70" t="e">
        <f t="shared" si="46"/>
        <v>#N/A</v>
      </c>
      <c r="F142" s="2" t="e">
        <f t="shared" si="47"/>
        <v>#N/A</v>
      </c>
      <c r="G142" s="2" t="e">
        <f t="shared" si="48"/>
        <v>#N/A</v>
      </c>
      <c r="I142" s="2" t="e">
        <f t="shared" si="49"/>
        <v>#N/A</v>
      </c>
      <c r="J142" s="2" t="e">
        <f t="shared" si="50"/>
        <v>#N/A</v>
      </c>
      <c r="L142" s="2" t="e">
        <f t="shared" si="51"/>
        <v>#N/A</v>
      </c>
      <c r="M142" s="2" t="e">
        <f t="shared" si="52"/>
        <v>#N/A</v>
      </c>
      <c r="O142" s="2" t="e">
        <f t="shared" si="53"/>
        <v>#N/A</v>
      </c>
      <c r="P142" s="2" t="e">
        <f t="shared" si="54"/>
        <v>#N/A</v>
      </c>
      <c r="R142" s="2" t="e">
        <f t="shared" si="55"/>
        <v>#N/A</v>
      </c>
      <c r="S142" s="2" t="e">
        <f t="shared" si="56"/>
        <v>#N/A</v>
      </c>
      <c r="U142" s="2" t="e">
        <f t="shared" si="57"/>
        <v>#N/A</v>
      </c>
      <c r="V142" s="2" t="e">
        <f t="shared" si="58"/>
        <v>#N/A</v>
      </c>
      <c r="X142" s="2" t="e">
        <f t="shared" si="59"/>
        <v>#N/A</v>
      </c>
      <c r="Y142" s="2" t="e">
        <f t="shared" si="60"/>
        <v>#N/A</v>
      </c>
      <c r="AA142" s="2" t="e">
        <f t="shared" si="61"/>
        <v>#N/A</v>
      </c>
      <c r="AB142" s="2" t="e">
        <f t="shared" si="62"/>
        <v>#N/A</v>
      </c>
      <c r="BB142" s="5"/>
      <c r="BC142" s="5"/>
      <c r="BD142" s="5"/>
      <c r="BE142" s="5"/>
      <c r="BF142" s="5"/>
      <c r="BG142" s="5"/>
      <c r="BH142" s="5"/>
    </row>
    <row r="143" spans="1:60" s="2" customFormat="1">
      <c r="A143" s="70">
        <v>45</v>
      </c>
      <c r="B143" s="70"/>
      <c r="C143" s="70" t="e">
        <f t="shared" si="45"/>
        <v>#N/A</v>
      </c>
      <c r="D143" s="70" t="e">
        <f t="shared" si="46"/>
        <v>#N/A</v>
      </c>
      <c r="F143" s="2" t="e">
        <f t="shared" si="47"/>
        <v>#N/A</v>
      </c>
      <c r="G143" s="2" t="e">
        <f t="shared" si="48"/>
        <v>#N/A</v>
      </c>
      <c r="I143" s="2" t="e">
        <f t="shared" si="49"/>
        <v>#N/A</v>
      </c>
      <c r="J143" s="2" t="e">
        <f t="shared" si="50"/>
        <v>#N/A</v>
      </c>
      <c r="L143" s="2" t="e">
        <f t="shared" si="51"/>
        <v>#N/A</v>
      </c>
      <c r="M143" s="2" t="e">
        <f t="shared" si="52"/>
        <v>#N/A</v>
      </c>
      <c r="O143" s="2" t="e">
        <f t="shared" si="53"/>
        <v>#N/A</v>
      </c>
      <c r="P143" s="2" t="e">
        <f t="shared" si="54"/>
        <v>#N/A</v>
      </c>
      <c r="R143" s="2" t="e">
        <f t="shared" si="55"/>
        <v>#N/A</v>
      </c>
      <c r="S143" s="2" t="e">
        <f t="shared" si="56"/>
        <v>#N/A</v>
      </c>
      <c r="U143" s="2" t="e">
        <f t="shared" si="57"/>
        <v>#N/A</v>
      </c>
      <c r="V143" s="2" t="e">
        <f t="shared" si="58"/>
        <v>#N/A</v>
      </c>
      <c r="X143" s="2" t="e">
        <f t="shared" si="59"/>
        <v>#N/A</v>
      </c>
      <c r="Y143" s="2" t="e">
        <f t="shared" si="60"/>
        <v>#N/A</v>
      </c>
      <c r="AA143" s="2" t="e">
        <f t="shared" si="61"/>
        <v>#N/A</v>
      </c>
      <c r="AB143" s="2" t="e">
        <f t="shared" si="62"/>
        <v>#N/A</v>
      </c>
      <c r="BB143" s="5"/>
      <c r="BC143" s="5"/>
      <c r="BD143" s="5"/>
      <c r="BE143" s="5"/>
      <c r="BF143" s="5"/>
      <c r="BG143" s="5"/>
      <c r="BH143" s="5"/>
    </row>
    <row r="144" spans="1:60" s="2" customFormat="1">
      <c r="A144" s="70">
        <v>60</v>
      </c>
      <c r="B144" s="70"/>
      <c r="C144" s="70" t="e">
        <f t="shared" si="45"/>
        <v>#N/A</v>
      </c>
      <c r="D144" s="70" t="e">
        <f t="shared" si="46"/>
        <v>#N/A</v>
      </c>
      <c r="F144" s="2" t="e">
        <f t="shared" si="47"/>
        <v>#N/A</v>
      </c>
      <c r="G144" s="2" t="e">
        <f t="shared" si="48"/>
        <v>#N/A</v>
      </c>
      <c r="I144" s="2" t="e">
        <f t="shared" si="49"/>
        <v>#N/A</v>
      </c>
      <c r="J144" s="2" t="e">
        <f t="shared" si="50"/>
        <v>#N/A</v>
      </c>
      <c r="L144" s="2" t="e">
        <f t="shared" si="51"/>
        <v>#N/A</v>
      </c>
      <c r="M144" s="2" t="e">
        <f t="shared" si="52"/>
        <v>#N/A</v>
      </c>
      <c r="O144" s="2" t="e">
        <f t="shared" si="53"/>
        <v>#N/A</v>
      </c>
      <c r="P144" s="2" t="e">
        <f t="shared" si="54"/>
        <v>#N/A</v>
      </c>
      <c r="R144" s="2" t="e">
        <f t="shared" si="55"/>
        <v>#N/A</v>
      </c>
      <c r="S144" s="2" t="e">
        <f t="shared" si="56"/>
        <v>#N/A</v>
      </c>
      <c r="U144" s="2" t="e">
        <f t="shared" si="57"/>
        <v>#N/A</v>
      </c>
      <c r="V144" s="2" t="e">
        <f t="shared" si="58"/>
        <v>#N/A</v>
      </c>
      <c r="X144" s="2" t="e">
        <f t="shared" si="59"/>
        <v>#N/A</v>
      </c>
      <c r="Y144" s="2" t="e">
        <f t="shared" si="60"/>
        <v>#N/A</v>
      </c>
      <c r="AA144" s="2" t="e">
        <f t="shared" si="61"/>
        <v>#N/A</v>
      </c>
      <c r="AB144" s="2" t="e">
        <f t="shared" si="62"/>
        <v>#N/A</v>
      </c>
      <c r="BB144" s="5"/>
      <c r="BC144" s="5"/>
      <c r="BD144" s="5"/>
      <c r="BE144" s="5"/>
      <c r="BF144" s="5"/>
      <c r="BG144" s="5"/>
      <c r="BH144" s="5"/>
    </row>
    <row r="145" spans="1:60" s="2" customFormat="1">
      <c r="A145" s="70">
        <v>75</v>
      </c>
      <c r="B145" s="70"/>
      <c r="C145" s="70" t="e">
        <f t="shared" si="45"/>
        <v>#N/A</v>
      </c>
      <c r="D145" s="70" t="e">
        <f t="shared" si="46"/>
        <v>#N/A</v>
      </c>
      <c r="F145" s="2" t="e">
        <f t="shared" si="47"/>
        <v>#N/A</v>
      </c>
      <c r="G145" s="2" t="e">
        <f t="shared" si="48"/>
        <v>#N/A</v>
      </c>
      <c r="I145" s="2" t="e">
        <f t="shared" si="49"/>
        <v>#N/A</v>
      </c>
      <c r="J145" s="2" t="e">
        <f t="shared" si="50"/>
        <v>#N/A</v>
      </c>
      <c r="L145" s="2" t="e">
        <f t="shared" si="51"/>
        <v>#N/A</v>
      </c>
      <c r="M145" s="2" t="e">
        <f t="shared" si="52"/>
        <v>#N/A</v>
      </c>
      <c r="O145" s="2" t="e">
        <f t="shared" si="53"/>
        <v>#N/A</v>
      </c>
      <c r="P145" s="2" t="e">
        <f t="shared" si="54"/>
        <v>#N/A</v>
      </c>
      <c r="R145" s="2" t="e">
        <f t="shared" si="55"/>
        <v>#N/A</v>
      </c>
      <c r="S145" s="2" t="e">
        <f t="shared" si="56"/>
        <v>#N/A</v>
      </c>
      <c r="U145" s="2" t="e">
        <f t="shared" si="57"/>
        <v>#N/A</v>
      </c>
      <c r="V145" s="2" t="e">
        <f t="shared" si="58"/>
        <v>#N/A</v>
      </c>
      <c r="X145" s="2" t="e">
        <f t="shared" si="59"/>
        <v>#N/A</v>
      </c>
      <c r="Y145" s="2" t="e">
        <f t="shared" si="60"/>
        <v>#N/A</v>
      </c>
      <c r="AA145" s="2" t="e">
        <f t="shared" si="61"/>
        <v>#N/A</v>
      </c>
      <c r="AB145" s="2" t="e">
        <f t="shared" si="62"/>
        <v>#N/A</v>
      </c>
      <c r="BB145" s="5"/>
      <c r="BC145" s="5"/>
      <c r="BD145" s="5"/>
      <c r="BE145" s="5"/>
      <c r="BF145" s="5"/>
      <c r="BG145" s="5"/>
      <c r="BH145" s="5"/>
    </row>
    <row r="146" spans="1:60" s="2" customFormat="1">
      <c r="A146" s="70">
        <v>90</v>
      </c>
      <c r="B146" s="70"/>
      <c r="C146" s="70" t="e">
        <f t="shared" si="45"/>
        <v>#N/A</v>
      </c>
      <c r="D146" s="70" t="e">
        <f t="shared" si="46"/>
        <v>#N/A</v>
      </c>
      <c r="F146" s="2" t="e">
        <f t="shared" si="47"/>
        <v>#N/A</v>
      </c>
      <c r="G146" s="2" t="e">
        <f t="shared" si="48"/>
        <v>#N/A</v>
      </c>
      <c r="I146" s="2" t="e">
        <f t="shared" si="49"/>
        <v>#N/A</v>
      </c>
      <c r="J146" s="2" t="e">
        <f t="shared" si="50"/>
        <v>#N/A</v>
      </c>
      <c r="L146" s="2" t="e">
        <f t="shared" si="51"/>
        <v>#N/A</v>
      </c>
      <c r="M146" s="2" t="e">
        <f t="shared" si="52"/>
        <v>#N/A</v>
      </c>
      <c r="O146" s="2" t="e">
        <f t="shared" si="53"/>
        <v>#N/A</v>
      </c>
      <c r="P146" s="2" t="e">
        <f t="shared" si="54"/>
        <v>#N/A</v>
      </c>
      <c r="R146" s="2" t="e">
        <f t="shared" si="55"/>
        <v>#N/A</v>
      </c>
      <c r="S146" s="2" t="e">
        <f t="shared" si="56"/>
        <v>#N/A</v>
      </c>
      <c r="U146" s="2" t="e">
        <f t="shared" si="57"/>
        <v>#N/A</v>
      </c>
      <c r="V146" s="2" t="e">
        <f t="shared" si="58"/>
        <v>#N/A</v>
      </c>
      <c r="X146" s="2" t="e">
        <f t="shared" si="59"/>
        <v>#N/A</v>
      </c>
      <c r="Y146" s="2" t="e">
        <f t="shared" si="60"/>
        <v>#N/A</v>
      </c>
      <c r="AA146" s="2" t="e">
        <f t="shared" si="61"/>
        <v>#N/A</v>
      </c>
      <c r="AB146" s="2" t="e">
        <f t="shared" si="62"/>
        <v>#N/A</v>
      </c>
      <c r="BB146" s="5"/>
      <c r="BC146" s="5"/>
      <c r="BD146" s="5"/>
      <c r="BE146" s="5"/>
      <c r="BF146" s="5"/>
      <c r="BG146" s="5"/>
      <c r="BH146" s="5"/>
    </row>
    <row r="147" spans="1:60" s="2" customFormat="1">
      <c r="A147" s="70">
        <v>105</v>
      </c>
      <c r="B147" s="70"/>
      <c r="C147" s="70" t="e">
        <f t="shared" si="45"/>
        <v>#N/A</v>
      </c>
      <c r="D147" s="70" t="e">
        <f t="shared" si="46"/>
        <v>#N/A</v>
      </c>
      <c r="F147" s="2" t="e">
        <f t="shared" si="47"/>
        <v>#N/A</v>
      </c>
      <c r="G147" s="2" t="e">
        <f t="shared" si="48"/>
        <v>#N/A</v>
      </c>
      <c r="I147" s="2" t="e">
        <f t="shared" si="49"/>
        <v>#N/A</v>
      </c>
      <c r="J147" s="2" t="e">
        <f t="shared" si="50"/>
        <v>#N/A</v>
      </c>
      <c r="L147" s="2" t="e">
        <f t="shared" si="51"/>
        <v>#N/A</v>
      </c>
      <c r="M147" s="2" t="e">
        <f t="shared" si="52"/>
        <v>#N/A</v>
      </c>
      <c r="O147" s="2" t="e">
        <f t="shared" si="53"/>
        <v>#N/A</v>
      </c>
      <c r="P147" s="2" t="e">
        <f t="shared" si="54"/>
        <v>#N/A</v>
      </c>
      <c r="R147" s="2" t="e">
        <f t="shared" si="55"/>
        <v>#N/A</v>
      </c>
      <c r="S147" s="2" t="e">
        <f t="shared" si="56"/>
        <v>#N/A</v>
      </c>
      <c r="U147" s="2" t="e">
        <f t="shared" si="57"/>
        <v>#N/A</v>
      </c>
      <c r="V147" s="2" t="e">
        <f t="shared" si="58"/>
        <v>#N/A</v>
      </c>
      <c r="X147" s="2" t="e">
        <f t="shared" si="59"/>
        <v>#N/A</v>
      </c>
      <c r="Y147" s="2" t="e">
        <f t="shared" si="60"/>
        <v>#N/A</v>
      </c>
      <c r="AA147" s="2" t="e">
        <f t="shared" si="61"/>
        <v>#N/A</v>
      </c>
      <c r="AB147" s="2" t="e">
        <f t="shared" si="62"/>
        <v>#N/A</v>
      </c>
      <c r="BB147" s="5"/>
      <c r="BC147" s="5"/>
      <c r="BD147" s="5"/>
      <c r="BE147" s="5"/>
      <c r="BF147" s="5"/>
      <c r="BG147" s="5"/>
      <c r="BH147" s="5"/>
    </row>
    <row r="148" spans="1:60" s="2" customFormat="1">
      <c r="A148" s="70">
        <v>120</v>
      </c>
      <c r="B148" s="70"/>
      <c r="C148" s="70" t="e">
        <f t="shared" si="45"/>
        <v>#N/A</v>
      </c>
      <c r="D148" s="70" t="e">
        <f t="shared" si="46"/>
        <v>#N/A</v>
      </c>
      <c r="F148" s="2" t="e">
        <f t="shared" si="47"/>
        <v>#N/A</v>
      </c>
      <c r="G148" s="2" t="e">
        <f t="shared" si="48"/>
        <v>#N/A</v>
      </c>
      <c r="I148" s="2" t="e">
        <f t="shared" si="49"/>
        <v>#N/A</v>
      </c>
      <c r="J148" s="2" t="e">
        <f t="shared" si="50"/>
        <v>#N/A</v>
      </c>
      <c r="L148" s="2" t="e">
        <f t="shared" si="51"/>
        <v>#N/A</v>
      </c>
      <c r="M148" s="2" t="e">
        <f t="shared" si="52"/>
        <v>#N/A</v>
      </c>
      <c r="O148" s="2" t="e">
        <f t="shared" si="53"/>
        <v>#N/A</v>
      </c>
      <c r="P148" s="2" t="e">
        <f t="shared" si="54"/>
        <v>#N/A</v>
      </c>
      <c r="R148" s="2" t="e">
        <f t="shared" si="55"/>
        <v>#N/A</v>
      </c>
      <c r="S148" s="2" t="e">
        <f t="shared" si="56"/>
        <v>#N/A</v>
      </c>
      <c r="U148" s="2" t="e">
        <f t="shared" si="57"/>
        <v>#N/A</v>
      </c>
      <c r="V148" s="2" t="e">
        <f t="shared" si="58"/>
        <v>#N/A</v>
      </c>
      <c r="X148" s="2" t="e">
        <f t="shared" si="59"/>
        <v>#N/A</v>
      </c>
      <c r="Y148" s="2" t="e">
        <f t="shared" si="60"/>
        <v>#N/A</v>
      </c>
      <c r="AA148" s="2" t="e">
        <f t="shared" si="61"/>
        <v>#N/A</v>
      </c>
      <c r="AB148" s="2" t="e">
        <f t="shared" si="62"/>
        <v>#N/A</v>
      </c>
      <c r="BB148" s="5"/>
      <c r="BC148" s="5"/>
      <c r="BD148" s="5"/>
      <c r="BE148" s="5"/>
      <c r="BF148" s="5"/>
      <c r="BG148" s="5"/>
      <c r="BH148" s="5"/>
    </row>
    <row r="149" spans="1:60" s="2" customFormat="1">
      <c r="A149" s="70">
        <v>135</v>
      </c>
      <c r="B149" s="70"/>
      <c r="C149" s="70" t="e">
        <f t="shared" si="45"/>
        <v>#N/A</v>
      </c>
      <c r="D149" s="70" t="e">
        <f t="shared" si="46"/>
        <v>#N/A</v>
      </c>
      <c r="F149" s="2" t="e">
        <f t="shared" si="47"/>
        <v>#N/A</v>
      </c>
      <c r="G149" s="2" t="e">
        <f t="shared" si="48"/>
        <v>#N/A</v>
      </c>
      <c r="I149" s="2" t="e">
        <f t="shared" si="49"/>
        <v>#N/A</v>
      </c>
      <c r="J149" s="2" t="e">
        <f t="shared" si="50"/>
        <v>#N/A</v>
      </c>
      <c r="L149" s="2" t="e">
        <f t="shared" si="51"/>
        <v>#N/A</v>
      </c>
      <c r="M149" s="2" t="e">
        <f t="shared" si="52"/>
        <v>#N/A</v>
      </c>
      <c r="O149" s="2" t="e">
        <f t="shared" si="53"/>
        <v>#N/A</v>
      </c>
      <c r="P149" s="2" t="e">
        <f t="shared" si="54"/>
        <v>#N/A</v>
      </c>
      <c r="R149" s="2" t="e">
        <f t="shared" si="55"/>
        <v>#N/A</v>
      </c>
      <c r="S149" s="2" t="e">
        <f t="shared" si="56"/>
        <v>#N/A</v>
      </c>
      <c r="U149" s="2" t="e">
        <f t="shared" si="57"/>
        <v>#N/A</v>
      </c>
      <c r="V149" s="2" t="e">
        <f t="shared" si="58"/>
        <v>#N/A</v>
      </c>
      <c r="X149" s="2" t="e">
        <f t="shared" si="59"/>
        <v>#N/A</v>
      </c>
      <c r="Y149" s="2" t="e">
        <f t="shared" si="60"/>
        <v>#N/A</v>
      </c>
      <c r="AA149" s="2" t="e">
        <f t="shared" si="61"/>
        <v>#N/A</v>
      </c>
      <c r="AB149" s="2" t="e">
        <f t="shared" si="62"/>
        <v>#N/A</v>
      </c>
      <c r="BB149" s="5"/>
      <c r="BC149" s="5"/>
      <c r="BD149" s="5"/>
      <c r="BE149" s="5"/>
      <c r="BF149" s="5"/>
      <c r="BG149" s="5"/>
      <c r="BH149" s="5"/>
    </row>
    <row r="150" spans="1:60" s="2" customFormat="1">
      <c r="A150" s="70">
        <v>150</v>
      </c>
      <c r="B150" s="70"/>
      <c r="C150" s="70" t="e">
        <f t="shared" si="45"/>
        <v>#N/A</v>
      </c>
      <c r="D150" s="70" t="e">
        <f t="shared" si="46"/>
        <v>#N/A</v>
      </c>
      <c r="F150" s="2" t="e">
        <f t="shared" si="47"/>
        <v>#N/A</v>
      </c>
      <c r="G150" s="2" t="e">
        <f t="shared" si="48"/>
        <v>#N/A</v>
      </c>
      <c r="I150" s="2" t="e">
        <f t="shared" si="49"/>
        <v>#N/A</v>
      </c>
      <c r="J150" s="2" t="e">
        <f t="shared" si="50"/>
        <v>#N/A</v>
      </c>
      <c r="L150" s="2" t="e">
        <f t="shared" si="51"/>
        <v>#N/A</v>
      </c>
      <c r="M150" s="2" t="e">
        <f t="shared" si="52"/>
        <v>#N/A</v>
      </c>
      <c r="O150" s="2" t="e">
        <f t="shared" si="53"/>
        <v>#N/A</v>
      </c>
      <c r="P150" s="2" t="e">
        <f t="shared" si="54"/>
        <v>#N/A</v>
      </c>
      <c r="R150" s="2" t="e">
        <f t="shared" si="55"/>
        <v>#N/A</v>
      </c>
      <c r="S150" s="2" t="e">
        <f t="shared" si="56"/>
        <v>#N/A</v>
      </c>
      <c r="U150" s="2" t="e">
        <f t="shared" si="57"/>
        <v>#N/A</v>
      </c>
      <c r="V150" s="2" t="e">
        <f t="shared" si="58"/>
        <v>#N/A</v>
      </c>
      <c r="X150" s="2" t="e">
        <f t="shared" si="59"/>
        <v>#N/A</v>
      </c>
      <c r="Y150" s="2" t="e">
        <f t="shared" si="60"/>
        <v>#N/A</v>
      </c>
      <c r="AA150" s="2" t="e">
        <f t="shared" si="61"/>
        <v>#N/A</v>
      </c>
      <c r="AB150" s="2" t="e">
        <f t="shared" si="62"/>
        <v>#N/A</v>
      </c>
      <c r="BB150" s="5"/>
      <c r="BC150" s="5"/>
      <c r="BD150" s="5"/>
      <c r="BE150" s="5"/>
      <c r="BF150" s="5"/>
      <c r="BG150" s="5"/>
      <c r="BH150" s="5"/>
    </row>
    <row r="151" spans="1:60" s="2" customFormat="1">
      <c r="A151" s="70">
        <v>165</v>
      </c>
      <c r="B151" s="70"/>
      <c r="C151" s="70" t="e">
        <f t="shared" si="45"/>
        <v>#N/A</v>
      </c>
      <c r="D151" s="70" t="e">
        <f t="shared" si="46"/>
        <v>#N/A</v>
      </c>
      <c r="F151" s="2" t="e">
        <f t="shared" si="47"/>
        <v>#N/A</v>
      </c>
      <c r="G151" s="2" t="e">
        <f t="shared" si="48"/>
        <v>#N/A</v>
      </c>
      <c r="I151" s="2" t="e">
        <f t="shared" si="49"/>
        <v>#N/A</v>
      </c>
      <c r="J151" s="2" t="e">
        <f t="shared" si="50"/>
        <v>#N/A</v>
      </c>
      <c r="L151" s="2" t="e">
        <f t="shared" si="51"/>
        <v>#N/A</v>
      </c>
      <c r="M151" s="2" t="e">
        <f t="shared" si="52"/>
        <v>#N/A</v>
      </c>
      <c r="O151" s="2" t="e">
        <f t="shared" si="53"/>
        <v>#N/A</v>
      </c>
      <c r="P151" s="2" t="e">
        <f t="shared" si="54"/>
        <v>#N/A</v>
      </c>
      <c r="R151" s="2" t="e">
        <f t="shared" si="55"/>
        <v>#N/A</v>
      </c>
      <c r="S151" s="2" t="e">
        <f t="shared" si="56"/>
        <v>#N/A</v>
      </c>
      <c r="U151" s="2" t="e">
        <f t="shared" si="57"/>
        <v>#N/A</v>
      </c>
      <c r="V151" s="2" t="e">
        <f t="shared" si="58"/>
        <v>#N/A</v>
      </c>
      <c r="X151" s="2" t="e">
        <f t="shared" si="59"/>
        <v>#N/A</v>
      </c>
      <c r="Y151" s="2" t="e">
        <f t="shared" si="60"/>
        <v>#N/A</v>
      </c>
      <c r="AA151" s="2" t="e">
        <f t="shared" si="61"/>
        <v>#N/A</v>
      </c>
      <c r="AB151" s="2" t="e">
        <f t="shared" si="62"/>
        <v>#N/A</v>
      </c>
      <c r="BB151" s="5"/>
      <c r="BC151" s="5"/>
      <c r="BD151" s="5"/>
      <c r="BE151" s="5"/>
      <c r="BF151" s="5"/>
      <c r="BG151" s="5"/>
      <c r="BH151" s="5"/>
    </row>
    <row r="152" spans="1:60" s="2" customFormat="1">
      <c r="A152" s="70">
        <v>180</v>
      </c>
      <c r="B152" s="70"/>
      <c r="C152" s="70" t="e">
        <f t="shared" si="45"/>
        <v>#N/A</v>
      </c>
      <c r="D152" s="70" t="e">
        <f t="shared" si="46"/>
        <v>#N/A</v>
      </c>
      <c r="F152" s="2" t="e">
        <f t="shared" si="47"/>
        <v>#N/A</v>
      </c>
      <c r="G152" s="2" t="e">
        <f t="shared" si="48"/>
        <v>#N/A</v>
      </c>
      <c r="I152" s="2" t="e">
        <f t="shared" si="49"/>
        <v>#N/A</v>
      </c>
      <c r="J152" s="2" t="e">
        <f t="shared" si="50"/>
        <v>#N/A</v>
      </c>
      <c r="L152" s="2" t="e">
        <f t="shared" si="51"/>
        <v>#N/A</v>
      </c>
      <c r="M152" s="2" t="e">
        <f t="shared" si="52"/>
        <v>#N/A</v>
      </c>
      <c r="O152" s="2" t="e">
        <f t="shared" si="53"/>
        <v>#N/A</v>
      </c>
      <c r="P152" s="2" t="e">
        <f t="shared" si="54"/>
        <v>#N/A</v>
      </c>
      <c r="R152" s="2" t="e">
        <f t="shared" si="55"/>
        <v>#N/A</v>
      </c>
      <c r="S152" s="2" t="e">
        <f t="shared" si="56"/>
        <v>#N/A</v>
      </c>
      <c r="U152" s="2" t="e">
        <f t="shared" si="57"/>
        <v>#N/A</v>
      </c>
      <c r="V152" s="2" t="e">
        <f t="shared" si="58"/>
        <v>#N/A</v>
      </c>
      <c r="X152" s="2" t="e">
        <f t="shared" si="59"/>
        <v>#N/A</v>
      </c>
      <c r="Y152" s="2" t="e">
        <f t="shared" si="60"/>
        <v>#N/A</v>
      </c>
      <c r="AA152" s="2" t="e">
        <f t="shared" si="61"/>
        <v>#N/A</v>
      </c>
      <c r="AB152" s="2" t="e">
        <f t="shared" si="62"/>
        <v>#N/A</v>
      </c>
      <c r="BB152" s="5"/>
      <c r="BC152" s="5"/>
      <c r="BD152" s="5"/>
      <c r="BE152" s="5"/>
      <c r="BF152" s="5"/>
      <c r="BG152" s="5"/>
      <c r="BH152" s="5"/>
    </row>
    <row r="153" spans="1:60" s="2" customFormat="1">
      <c r="A153" s="70">
        <v>195</v>
      </c>
      <c r="B153" s="70"/>
      <c r="C153" s="70" t="e">
        <f t="shared" si="45"/>
        <v>#N/A</v>
      </c>
      <c r="D153" s="70" t="e">
        <f t="shared" si="46"/>
        <v>#N/A</v>
      </c>
      <c r="F153" s="2" t="e">
        <f t="shared" si="47"/>
        <v>#N/A</v>
      </c>
      <c r="G153" s="2" t="e">
        <f t="shared" si="48"/>
        <v>#N/A</v>
      </c>
      <c r="I153" s="2" t="e">
        <f t="shared" si="49"/>
        <v>#N/A</v>
      </c>
      <c r="J153" s="2" t="e">
        <f t="shared" si="50"/>
        <v>#N/A</v>
      </c>
      <c r="L153" s="2" t="e">
        <f t="shared" si="51"/>
        <v>#N/A</v>
      </c>
      <c r="M153" s="2" t="e">
        <f t="shared" si="52"/>
        <v>#N/A</v>
      </c>
      <c r="O153" s="2" t="e">
        <f t="shared" si="53"/>
        <v>#N/A</v>
      </c>
      <c r="P153" s="2" t="e">
        <f t="shared" si="54"/>
        <v>#N/A</v>
      </c>
      <c r="R153" s="2" t="e">
        <f t="shared" si="55"/>
        <v>#N/A</v>
      </c>
      <c r="S153" s="2" t="e">
        <f t="shared" si="56"/>
        <v>#N/A</v>
      </c>
      <c r="U153" s="2" t="e">
        <f t="shared" si="57"/>
        <v>#N/A</v>
      </c>
      <c r="V153" s="2" t="e">
        <f t="shared" si="58"/>
        <v>#N/A</v>
      </c>
      <c r="X153" s="2" t="e">
        <f t="shared" si="59"/>
        <v>#N/A</v>
      </c>
      <c r="Y153" s="2" t="e">
        <f t="shared" si="60"/>
        <v>#N/A</v>
      </c>
      <c r="AA153" s="2" t="e">
        <f t="shared" si="61"/>
        <v>#N/A</v>
      </c>
      <c r="AB153" s="2" t="e">
        <f t="shared" si="62"/>
        <v>#N/A</v>
      </c>
      <c r="BB153" s="5"/>
      <c r="BC153" s="5"/>
      <c r="BD153" s="5"/>
      <c r="BE153" s="5"/>
      <c r="BF153" s="5"/>
      <c r="BG153" s="5"/>
      <c r="BH153" s="5"/>
    </row>
    <row r="154" spans="1:60" s="2" customFormat="1">
      <c r="A154" s="70">
        <v>210</v>
      </c>
      <c r="B154" s="70"/>
      <c r="C154" s="70" t="e">
        <f t="shared" si="45"/>
        <v>#N/A</v>
      </c>
      <c r="D154" s="70" t="e">
        <f t="shared" si="46"/>
        <v>#N/A</v>
      </c>
      <c r="F154" s="2" t="e">
        <f t="shared" si="47"/>
        <v>#N/A</v>
      </c>
      <c r="G154" s="2" t="e">
        <f t="shared" si="48"/>
        <v>#N/A</v>
      </c>
      <c r="I154" s="2" t="e">
        <f t="shared" si="49"/>
        <v>#N/A</v>
      </c>
      <c r="J154" s="2" t="e">
        <f t="shared" si="50"/>
        <v>#N/A</v>
      </c>
      <c r="L154" s="2" t="e">
        <f t="shared" si="51"/>
        <v>#N/A</v>
      </c>
      <c r="M154" s="2" t="e">
        <f t="shared" si="52"/>
        <v>#N/A</v>
      </c>
      <c r="O154" s="2" t="e">
        <f t="shared" si="53"/>
        <v>#N/A</v>
      </c>
      <c r="P154" s="2" t="e">
        <f t="shared" si="54"/>
        <v>#N/A</v>
      </c>
      <c r="R154" s="2" t="e">
        <f t="shared" si="55"/>
        <v>#N/A</v>
      </c>
      <c r="S154" s="2" t="e">
        <f t="shared" si="56"/>
        <v>#N/A</v>
      </c>
      <c r="U154" s="2" t="e">
        <f t="shared" si="57"/>
        <v>#N/A</v>
      </c>
      <c r="V154" s="2" t="e">
        <f t="shared" si="58"/>
        <v>#N/A</v>
      </c>
      <c r="X154" s="2" t="e">
        <f t="shared" si="59"/>
        <v>#N/A</v>
      </c>
      <c r="Y154" s="2" t="e">
        <f t="shared" si="60"/>
        <v>#N/A</v>
      </c>
      <c r="AA154" s="2" t="e">
        <f t="shared" si="61"/>
        <v>#N/A</v>
      </c>
      <c r="AB154" s="2" t="e">
        <f t="shared" si="62"/>
        <v>#N/A</v>
      </c>
      <c r="BB154" s="5"/>
      <c r="BC154" s="5"/>
      <c r="BD154" s="5"/>
      <c r="BE154" s="5"/>
      <c r="BF154" s="5"/>
      <c r="BG154" s="5"/>
      <c r="BH154" s="5"/>
    </row>
    <row r="155" spans="1:60" s="2" customFormat="1">
      <c r="A155" s="70">
        <v>225</v>
      </c>
      <c r="B155" s="70"/>
      <c r="C155" s="70" t="e">
        <f t="shared" si="45"/>
        <v>#N/A</v>
      </c>
      <c r="D155" s="70" t="e">
        <f t="shared" si="46"/>
        <v>#N/A</v>
      </c>
      <c r="F155" s="2" t="e">
        <f t="shared" si="47"/>
        <v>#N/A</v>
      </c>
      <c r="G155" s="2" t="e">
        <f t="shared" si="48"/>
        <v>#N/A</v>
      </c>
      <c r="I155" s="2" t="e">
        <f t="shared" si="49"/>
        <v>#N/A</v>
      </c>
      <c r="J155" s="2" t="e">
        <f t="shared" si="50"/>
        <v>#N/A</v>
      </c>
      <c r="L155" s="2" t="e">
        <f t="shared" si="51"/>
        <v>#N/A</v>
      </c>
      <c r="M155" s="2" t="e">
        <f t="shared" si="52"/>
        <v>#N/A</v>
      </c>
      <c r="O155" s="2" t="e">
        <f t="shared" si="53"/>
        <v>#N/A</v>
      </c>
      <c r="P155" s="2" t="e">
        <f t="shared" si="54"/>
        <v>#N/A</v>
      </c>
      <c r="R155" s="2" t="e">
        <f t="shared" si="55"/>
        <v>#N/A</v>
      </c>
      <c r="S155" s="2" t="e">
        <f t="shared" si="56"/>
        <v>#N/A</v>
      </c>
      <c r="U155" s="2" t="e">
        <f t="shared" si="57"/>
        <v>#N/A</v>
      </c>
      <c r="V155" s="2" t="e">
        <f t="shared" si="58"/>
        <v>#N/A</v>
      </c>
      <c r="X155" s="2" t="e">
        <f t="shared" si="59"/>
        <v>#N/A</v>
      </c>
      <c r="Y155" s="2" t="e">
        <f t="shared" si="60"/>
        <v>#N/A</v>
      </c>
      <c r="AA155" s="2" t="e">
        <f t="shared" si="61"/>
        <v>#N/A</v>
      </c>
      <c r="AB155" s="2" t="e">
        <f t="shared" si="62"/>
        <v>#N/A</v>
      </c>
      <c r="BB155" s="5"/>
      <c r="BC155" s="5"/>
      <c r="BD155" s="5"/>
      <c r="BE155" s="5"/>
      <c r="BF155" s="5"/>
      <c r="BG155" s="5"/>
      <c r="BH155" s="5"/>
    </row>
    <row r="156" spans="1:60" s="2" customFormat="1">
      <c r="A156" s="70">
        <v>240</v>
      </c>
      <c r="B156" s="70"/>
      <c r="C156" s="70" t="e">
        <f t="shared" si="45"/>
        <v>#N/A</v>
      </c>
      <c r="D156" s="70" t="e">
        <f t="shared" si="46"/>
        <v>#N/A</v>
      </c>
      <c r="F156" s="2" t="e">
        <f t="shared" si="47"/>
        <v>#N/A</v>
      </c>
      <c r="G156" s="2" t="e">
        <f t="shared" si="48"/>
        <v>#N/A</v>
      </c>
      <c r="I156" s="2" t="e">
        <f t="shared" si="49"/>
        <v>#N/A</v>
      </c>
      <c r="J156" s="2" t="e">
        <f t="shared" si="50"/>
        <v>#N/A</v>
      </c>
      <c r="L156" s="2" t="e">
        <f t="shared" si="51"/>
        <v>#N/A</v>
      </c>
      <c r="M156" s="2" t="e">
        <f t="shared" si="52"/>
        <v>#N/A</v>
      </c>
      <c r="O156" s="2" t="e">
        <f t="shared" si="53"/>
        <v>#N/A</v>
      </c>
      <c r="P156" s="2" t="e">
        <f t="shared" si="54"/>
        <v>#N/A</v>
      </c>
      <c r="R156" s="2" t="e">
        <f t="shared" si="55"/>
        <v>#N/A</v>
      </c>
      <c r="S156" s="2" t="e">
        <f t="shared" si="56"/>
        <v>#N/A</v>
      </c>
      <c r="U156" s="2" t="e">
        <f t="shared" si="57"/>
        <v>#N/A</v>
      </c>
      <c r="V156" s="2" t="e">
        <f t="shared" si="58"/>
        <v>#N/A</v>
      </c>
      <c r="X156" s="2" t="e">
        <f t="shared" si="59"/>
        <v>#N/A</v>
      </c>
      <c r="Y156" s="2" t="e">
        <f t="shared" si="60"/>
        <v>#N/A</v>
      </c>
      <c r="AA156" s="2" t="e">
        <f t="shared" si="61"/>
        <v>#N/A</v>
      </c>
      <c r="AB156" s="2" t="e">
        <f t="shared" si="62"/>
        <v>#N/A</v>
      </c>
      <c r="BB156" s="5"/>
      <c r="BC156" s="5"/>
      <c r="BD156" s="5"/>
      <c r="BE156" s="5"/>
      <c r="BF156" s="5"/>
      <c r="BG156" s="5"/>
      <c r="BH156" s="5"/>
    </row>
    <row r="157" spans="1:60" s="2" customFormat="1">
      <c r="A157" s="70">
        <v>255</v>
      </c>
      <c r="B157" s="70"/>
      <c r="C157" s="70" t="e">
        <f t="shared" si="45"/>
        <v>#N/A</v>
      </c>
      <c r="D157" s="70" t="e">
        <f t="shared" si="46"/>
        <v>#N/A</v>
      </c>
      <c r="F157" s="2" t="e">
        <f t="shared" si="47"/>
        <v>#N/A</v>
      </c>
      <c r="G157" s="2" t="e">
        <f t="shared" si="48"/>
        <v>#N/A</v>
      </c>
      <c r="I157" s="2" t="e">
        <f t="shared" si="49"/>
        <v>#N/A</v>
      </c>
      <c r="J157" s="2" t="e">
        <f t="shared" si="50"/>
        <v>#N/A</v>
      </c>
      <c r="L157" s="2" t="e">
        <f t="shared" si="51"/>
        <v>#N/A</v>
      </c>
      <c r="M157" s="2" t="e">
        <f t="shared" si="52"/>
        <v>#N/A</v>
      </c>
      <c r="O157" s="2" t="e">
        <f t="shared" si="53"/>
        <v>#N/A</v>
      </c>
      <c r="P157" s="2" t="e">
        <f t="shared" si="54"/>
        <v>#N/A</v>
      </c>
      <c r="R157" s="2" t="e">
        <f t="shared" si="55"/>
        <v>#N/A</v>
      </c>
      <c r="S157" s="2" t="e">
        <f t="shared" si="56"/>
        <v>#N/A</v>
      </c>
      <c r="U157" s="2" t="e">
        <f t="shared" si="57"/>
        <v>#N/A</v>
      </c>
      <c r="V157" s="2" t="e">
        <f t="shared" si="58"/>
        <v>#N/A</v>
      </c>
      <c r="X157" s="2" t="e">
        <f t="shared" si="59"/>
        <v>#N/A</v>
      </c>
      <c r="Y157" s="2" t="e">
        <f t="shared" si="60"/>
        <v>#N/A</v>
      </c>
      <c r="AA157" s="2" t="e">
        <f t="shared" si="61"/>
        <v>#N/A</v>
      </c>
      <c r="AB157" s="2" t="e">
        <f t="shared" si="62"/>
        <v>#N/A</v>
      </c>
      <c r="BB157" s="5"/>
      <c r="BC157" s="5"/>
      <c r="BD157" s="5"/>
      <c r="BE157" s="5"/>
      <c r="BF157" s="5"/>
      <c r="BG157" s="5"/>
      <c r="BH157" s="5"/>
    </row>
    <row r="158" spans="1:60" s="2" customFormat="1">
      <c r="A158" s="70">
        <v>270</v>
      </c>
      <c r="B158" s="70"/>
      <c r="C158" s="70" t="e">
        <f t="shared" si="45"/>
        <v>#N/A</v>
      </c>
      <c r="D158" s="70" t="e">
        <f t="shared" si="46"/>
        <v>#N/A</v>
      </c>
      <c r="F158" s="2" t="e">
        <f t="shared" si="47"/>
        <v>#N/A</v>
      </c>
      <c r="G158" s="2" t="e">
        <f t="shared" si="48"/>
        <v>#N/A</v>
      </c>
      <c r="I158" s="2" t="e">
        <f t="shared" si="49"/>
        <v>#N/A</v>
      </c>
      <c r="J158" s="2" t="e">
        <f t="shared" si="50"/>
        <v>#N/A</v>
      </c>
      <c r="L158" s="2" t="e">
        <f t="shared" si="51"/>
        <v>#N/A</v>
      </c>
      <c r="M158" s="2" t="e">
        <f t="shared" si="52"/>
        <v>#N/A</v>
      </c>
      <c r="O158" s="2" t="e">
        <f t="shared" si="53"/>
        <v>#N/A</v>
      </c>
      <c r="P158" s="2" t="e">
        <f t="shared" si="54"/>
        <v>#N/A</v>
      </c>
      <c r="R158" s="2" t="e">
        <f t="shared" si="55"/>
        <v>#N/A</v>
      </c>
      <c r="S158" s="2" t="e">
        <f t="shared" si="56"/>
        <v>#N/A</v>
      </c>
      <c r="U158" s="2" t="e">
        <f t="shared" si="57"/>
        <v>#N/A</v>
      </c>
      <c r="V158" s="2" t="e">
        <f t="shared" si="58"/>
        <v>#N/A</v>
      </c>
      <c r="X158" s="2" t="e">
        <f t="shared" si="59"/>
        <v>#N/A</v>
      </c>
      <c r="Y158" s="2" t="e">
        <f t="shared" si="60"/>
        <v>#N/A</v>
      </c>
      <c r="AA158" s="2" t="e">
        <f t="shared" si="61"/>
        <v>#N/A</v>
      </c>
      <c r="AB158" s="2" t="e">
        <f t="shared" si="62"/>
        <v>#N/A</v>
      </c>
      <c r="BB158" s="5"/>
      <c r="BC158" s="5"/>
      <c r="BD158" s="5"/>
      <c r="BE158" s="5"/>
      <c r="BF158" s="5"/>
      <c r="BG158" s="5"/>
      <c r="BH158" s="5"/>
    </row>
    <row r="159" spans="1:60" s="2" customFormat="1">
      <c r="A159" s="70">
        <v>285</v>
      </c>
      <c r="B159" s="70"/>
      <c r="C159" s="70" t="e">
        <f t="shared" si="45"/>
        <v>#N/A</v>
      </c>
      <c r="D159" s="70" t="e">
        <f t="shared" si="46"/>
        <v>#N/A</v>
      </c>
      <c r="F159" s="2" t="e">
        <f t="shared" si="47"/>
        <v>#N/A</v>
      </c>
      <c r="G159" s="2" t="e">
        <f t="shared" si="48"/>
        <v>#N/A</v>
      </c>
      <c r="I159" s="2" t="e">
        <f t="shared" si="49"/>
        <v>#N/A</v>
      </c>
      <c r="J159" s="2" t="e">
        <f t="shared" si="50"/>
        <v>#N/A</v>
      </c>
      <c r="L159" s="2" t="e">
        <f t="shared" si="51"/>
        <v>#N/A</v>
      </c>
      <c r="M159" s="2" t="e">
        <f t="shared" si="52"/>
        <v>#N/A</v>
      </c>
      <c r="O159" s="2" t="e">
        <f t="shared" si="53"/>
        <v>#N/A</v>
      </c>
      <c r="P159" s="2" t="e">
        <f t="shared" si="54"/>
        <v>#N/A</v>
      </c>
      <c r="R159" s="2" t="e">
        <f t="shared" si="55"/>
        <v>#N/A</v>
      </c>
      <c r="S159" s="2" t="e">
        <f t="shared" si="56"/>
        <v>#N/A</v>
      </c>
      <c r="U159" s="2" t="e">
        <f t="shared" si="57"/>
        <v>#N/A</v>
      </c>
      <c r="V159" s="2" t="e">
        <f t="shared" si="58"/>
        <v>#N/A</v>
      </c>
      <c r="X159" s="2" t="e">
        <f t="shared" si="59"/>
        <v>#N/A</v>
      </c>
      <c r="Y159" s="2" t="e">
        <f t="shared" si="60"/>
        <v>#N/A</v>
      </c>
      <c r="AA159" s="2" t="e">
        <f t="shared" si="61"/>
        <v>#N/A</v>
      </c>
      <c r="AB159" s="2" t="e">
        <f t="shared" si="62"/>
        <v>#N/A</v>
      </c>
      <c r="BB159" s="5"/>
      <c r="BC159" s="5"/>
      <c r="BD159" s="5"/>
      <c r="BE159" s="5"/>
      <c r="BF159" s="5"/>
      <c r="BG159" s="5"/>
      <c r="BH159" s="5"/>
    </row>
    <row r="160" spans="1:60" s="2" customFormat="1">
      <c r="A160" s="70">
        <v>300</v>
      </c>
      <c r="B160" s="70"/>
      <c r="C160" s="70" t="e">
        <f t="shared" si="45"/>
        <v>#N/A</v>
      </c>
      <c r="D160" s="70" t="e">
        <f t="shared" si="46"/>
        <v>#N/A</v>
      </c>
      <c r="F160" s="2" t="e">
        <f t="shared" si="47"/>
        <v>#N/A</v>
      </c>
      <c r="G160" s="2" t="e">
        <f t="shared" si="48"/>
        <v>#N/A</v>
      </c>
      <c r="I160" s="2" t="e">
        <f t="shared" si="49"/>
        <v>#N/A</v>
      </c>
      <c r="J160" s="2" t="e">
        <f t="shared" si="50"/>
        <v>#N/A</v>
      </c>
      <c r="L160" s="2" t="e">
        <f t="shared" si="51"/>
        <v>#N/A</v>
      </c>
      <c r="M160" s="2" t="e">
        <f t="shared" si="52"/>
        <v>#N/A</v>
      </c>
      <c r="O160" s="2" t="e">
        <f t="shared" si="53"/>
        <v>#N/A</v>
      </c>
      <c r="P160" s="2" t="e">
        <f t="shared" si="54"/>
        <v>#N/A</v>
      </c>
      <c r="R160" s="2" t="e">
        <f t="shared" si="55"/>
        <v>#N/A</v>
      </c>
      <c r="S160" s="2" t="e">
        <f t="shared" si="56"/>
        <v>#N/A</v>
      </c>
      <c r="U160" s="2" t="e">
        <f t="shared" si="57"/>
        <v>#N/A</v>
      </c>
      <c r="V160" s="2" t="e">
        <f t="shared" si="58"/>
        <v>#N/A</v>
      </c>
      <c r="X160" s="2" t="e">
        <f t="shared" si="59"/>
        <v>#N/A</v>
      </c>
      <c r="Y160" s="2" t="e">
        <f t="shared" si="60"/>
        <v>#N/A</v>
      </c>
      <c r="AA160" s="2" t="e">
        <f t="shared" si="61"/>
        <v>#N/A</v>
      </c>
      <c r="AB160" s="2" t="e">
        <f t="shared" si="62"/>
        <v>#N/A</v>
      </c>
      <c r="BB160" s="5"/>
      <c r="BC160" s="5"/>
      <c r="BD160" s="5"/>
      <c r="BE160" s="5"/>
      <c r="BF160" s="5"/>
      <c r="BG160" s="5"/>
      <c r="BH160" s="5"/>
    </row>
    <row r="161" spans="1:60" s="2" customFormat="1">
      <c r="A161" s="70">
        <v>315</v>
      </c>
      <c r="B161" s="70"/>
      <c r="C161" s="70" t="e">
        <f t="shared" si="45"/>
        <v>#N/A</v>
      </c>
      <c r="D161" s="70" t="e">
        <f t="shared" si="46"/>
        <v>#N/A</v>
      </c>
      <c r="F161" s="2" t="e">
        <f t="shared" si="47"/>
        <v>#N/A</v>
      </c>
      <c r="G161" s="2" t="e">
        <f t="shared" si="48"/>
        <v>#N/A</v>
      </c>
      <c r="I161" s="2" t="e">
        <f t="shared" si="49"/>
        <v>#N/A</v>
      </c>
      <c r="J161" s="2" t="e">
        <f t="shared" si="50"/>
        <v>#N/A</v>
      </c>
      <c r="L161" s="2" t="e">
        <f t="shared" si="51"/>
        <v>#N/A</v>
      </c>
      <c r="M161" s="2" t="e">
        <f t="shared" si="52"/>
        <v>#N/A</v>
      </c>
      <c r="O161" s="2" t="e">
        <f t="shared" si="53"/>
        <v>#N/A</v>
      </c>
      <c r="P161" s="2" t="e">
        <f t="shared" si="54"/>
        <v>#N/A</v>
      </c>
      <c r="R161" s="2" t="e">
        <f t="shared" si="55"/>
        <v>#N/A</v>
      </c>
      <c r="S161" s="2" t="e">
        <f t="shared" si="56"/>
        <v>#N/A</v>
      </c>
      <c r="U161" s="2" t="e">
        <f t="shared" si="57"/>
        <v>#N/A</v>
      </c>
      <c r="V161" s="2" t="e">
        <f t="shared" si="58"/>
        <v>#N/A</v>
      </c>
      <c r="X161" s="2" t="e">
        <f t="shared" si="59"/>
        <v>#N/A</v>
      </c>
      <c r="Y161" s="2" t="e">
        <f t="shared" si="60"/>
        <v>#N/A</v>
      </c>
      <c r="AA161" s="2" t="e">
        <f t="shared" si="61"/>
        <v>#N/A</v>
      </c>
      <c r="AB161" s="2" t="e">
        <f t="shared" si="62"/>
        <v>#N/A</v>
      </c>
      <c r="BB161" s="5"/>
      <c r="BC161" s="5"/>
      <c r="BD161" s="5"/>
      <c r="BE161" s="5"/>
      <c r="BF161" s="5"/>
      <c r="BG161" s="5"/>
      <c r="BH161" s="5"/>
    </row>
    <row r="162" spans="1:60" s="2" customFormat="1">
      <c r="A162" s="70">
        <v>330</v>
      </c>
      <c r="B162" s="70"/>
      <c r="C162" s="70" t="e">
        <f t="shared" si="45"/>
        <v>#N/A</v>
      </c>
      <c r="D162" s="70" t="e">
        <f t="shared" si="46"/>
        <v>#N/A</v>
      </c>
      <c r="F162" s="2" t="e">
        <f t="shared" si="47"/>
        <v>#N/A</v>
      </c>
      <c r="G162" s="2" t="e">
        <f t="shared" si="48"/>
        <v>#N/A</v>
      </c>
      <c r="I162" s="2" t="e">
        <f t="shared" si="49"/>
        <v>#N/A</v>
      </c>
      <c r="J162" s="2" t="e">
        <f t="shared" si="50"/>
        <v>#N/A</v>
      </c>
      <c r="L162" s="2" t="e">
        <f t="shared" si="51"/>
        <v>#N/A</v>
      </c>
      <c r="M162" s="2" t="e">
        <f t="shared" si="52"/>
        <v>#N/A</v>
      </c>
      <c r="O162" s="2" t="e">
        <f t="shared" si="53"/>
        <v>#N/A</v>
      </c>
      <c r="P162" s="2" t="e">
        <f t="shared" si="54"/>
        <v>#N/A</v>
      </c>
      <c r="R162" s="2" t="e">
        <f t="shared" si="55"/>
        <v>#N/A</v>
      </c>
      <c r="S162" s="2" t="e">
        <f t="shared" si="56"/>
        <v>#N/A</v>
      </c>
      <c r="U162" s="2" t="e">
        <f t="shared" si="57"/>
        <v>#N/A</v>
      </c>
      <c r="V162" s="2" t="e">
        <f t="shared" si="58"/>
        <v>#N/A</v>
      </c>
      <c r="X162" s="2" t="e">
        <f t="shared" si="59"/>
        <v>#N/A</v>
      </c>
      <c r="Y162" s="2" t="e">
        <f t="shared" si="60"/>
        <v>#N/A</v>
      </c>
      <c r="AA162" s="2" t="e">
        <f t="shared" si="61"/>
        <v>#N/A</v>
      </c>
      <c r="AB162" s="2" t="e">
        <f t="shared" si="62"/>
        <v>#N/A</v>
      </c>
      <c r="BB162" s="5"/>
      <c r="BC162" s="5"/>
      <c r="BD162" s="5"/>
      <c r="BE162" s="5"/>
      <c r="BF162" s="5"/>
      <c r="BG162" s="5"/>
      <c r="BH162" s="5"/>
    </row>
    <row r="163" spans="1:60" s="2" customFormat="1">
      <c r="A163" s="70">
        <v>345</v>
      </c>
      <c r="B163" s="70"/>
      <c r="C163" s="70" t="e">
        <f t="shared" si="45"/>
        <v>#N/A</v>
      </c>
      <c r="D163" s="70" t="e">
        <f t="shared" si="46"/>
        <v>#N/A</v>
      </c>
      <c r="F163" s="2" t="e">
        <f t="shared" si="47"/>
        <v>#N/A</v>
      </c>
      <c r="G163" s="2" t="e">
        <f t="shared" si="48"/>
        <v>#N/A</v>
      </c>
      <c r="I163" s="2" t="e">
        <f t="shared" si="49"/>
        <v>#N/A</v>
      </c>
      <c r="J163" s="2" t="e">
        <f t="shared" si="50"/>
        <v>#N/A</v>
      </c>
      <c r="L163" s="2" t="e">
        <f t="shared" si="51"/>
        <v>#N/A</v>
      </c>
      <c r="M163" s="2" t="e">
        <f t="shared" si="52"/>
        <v>#N/A</v>
      </c>
      <c r="O163" s="2" t="e">
        <f t="shared" si="53"/>
        <v>#N/A</v>
      </c>
      <c r="P163" s="2" t="e">
        <f t="shared" si="54"/>
        <v>#N/A</v>
      </c>
      <c r="R163" s="2" t="e">
        <f t="shared" si="55"/>
        <v>#N/A</v>
      </c>
      <c r="S163" s="2" t="e">
        <f t="shared" si="56"/>
        <v>#N/A</v>
      </c>
      <c r="U163" s="2" t="e">
        <f t="shared" si="57"/>
        <v>#N/A</v>
      </c>
      <c r="V163" s="2" t="e">
        <f t="shared" si="58"/>
        <v>#N/A</v>
      </c>
      <c r="X163" s="2" t="e">
        <f t="shared" si="59"/>
        <v>#N/A</v>
      </c>
      <c r="Y163" s="2" t="e">
        <f t="shared" si="60"/>
        <v>#N/A</v>
      </c>
      <c r="AA163" s="2" t="e">
        <f t="shared" si="61"/>
        <v>#N/A</v>
      </c>
      <c r="AB163" s="2" t="e">
        <f t="shared" si="62"/>
        <v>#N/A</v>
      </c>
      <c r="BB163" s="5"/>
      <c r="BC163" s="5"/>
      <c r="BD163" s="5"/>
      <c r="BE163" s="5"/>
      <c r="BF163" s="5"/>
      <c r="BG163" s="5"/>
      <c r="BH163" s="5"/>
    </row>
    <row r="164" spans="1:60" s="2" customFormat="1">
      <c r="A164" s="70">
        <v>360</v>
      </c>
      <c r="B164" s="70"/>
      <c r="C164" s="70" t="e">
        <f t="shared" si="45"/>
        <v>#N/A</v>
      </c>
      <c r="D164" s="70" t="e">
        <f t="shared" si="46"/>
        <v>#N/A</v>
      </c>
      <c r="F164" s="2" t="e">
        <f t="shared" si="47"/>
        <v>#N/A</v>
      </c>
      <c r="G164" s="2" t="e">
        <f t="shared" si="48"/>
        <v>#N/A</v>
      </c>
      <c r="I164" s="2" t="e">
        <f t="shared" si="49"/>
        <v>#N/A</v>
      </c>
      <c r="J164" s="2" t="e">
        <f t="shared" si="50"/>
        <v>#N/A</v>
      </c>
      <c r="L164" s="2" t="e">
        <f t="shared" si="51"/>
        <v>#N/A</v>
      </c>
      <c r="M164" s="2" t="e">
        <f t="shared" si="52"/>
        <v>#N/A</v>
      </c>
      <c r="O164" s="2" t="e">
        <f t="shared" si="53"/>
        <v>#N/A</v>
      </c>
      <c r="P164" s="2" t="e">
        <f t="shared" si="54"/>
        <v>#N/A</v>
      </c>
      <c r="R164" s="2" t="e">
        <f t="shared" si="55"/>
        <v>#N/A</v>
      </c>
      <c r="S164" s="2" t="e">
        <f t="shared" si="56"/>
        <v>#N/A</v>
      </c>
      <c r="U164" s="2" t="e">
        <f t="shared" si="57"/>
        <v>#N/A</v>
      </c>
      <c r="V164" s="2" t="e">
        <f t="shared" si="58"/>
        <v>#N/A</v>
      </c>
      <c r="X164" s="2" t="e">
        <f t="shared" si="59"/>
        <v>#N/A</v>
      </c>
      <c r="Y164" s="2" t="e">
        <f t="shared" si="60"/>
        <v>#N/A</v>
      </c>
      <c r="AA164" s="2" t="e">
        <f t="shared" si="61"/>
        <v>#N/A</v>
      </c>
      <c r="AB164" s="2" t="e">
        <f t="shared" si="62"/>
        <v>#N/A</v>
      </c>
      <c r="BB164" s="5"/>
      <c r="BC164" s="5"/>
      <c r="BD164" s="5"/>
      <c r="BE164" s="5"/>
      <c r="BF164" s="5"/>
      <c r="BG164" s="5"/>
      <c r="BH164" s="5"/>
    </row>
    <row r="165" spans="1:60" s="2" customFormat="1">
      <c r="A165" s="70"/>
      <c r="BB165" s="5"/>
      <c r="BC165" s="5"/>
      <c r="BD165" s="5"/>
      <c r="BE165" s="5"/>
      <c r="BF165" s="5"/>
      <c r="BG165" s="5"/>
      <c r="BH165" s="5"/>
    </row>
    <row r="166" spans="1:60" s="2" customFormat="1">
      <c r="A166" s="70">
        <v>0</v>
      </c>
      <c r="B166" s="2">
        <v>3</v>
      </c>
      <c r="C166" s="2" t="e">
        <f t="shared" ref="C166:C190" si="63">IF(AND(AG$3,C$563&gt;0),E$17*COS($A166*PI()/180)+C$563,NA())</f>
        <v>#N/A</v>
      </c>
      <c r="D166" s="2" t="e">
        <f t="shared" ref="D166:D190" si="64">IF(AND(AG$3,C$563&gt;0),E$17*SIN($A166*PI()/180)+E$11,NA())</f>
        <v>#N/A</v>
      </c>
      <c r="F166" s="2" t="e">
        <f t="shared" ref="F166:F190" si="65">IF(AND(AH$3,F$563&gt;0),H$17*COS($A166*PI()/180)+F$563,NA())</f>
        <v>#N/A</v>
      </c>
      <c r="G166" s="2" t="e">
        <f t="shared" ref="G166:G190" si="66">IF(AND(AH$3,F$563&gt;0),H$17*SIN($A166*PI()/180)+H$11,NA())</f>
        <v>#N/A</v>
      </c>
      <c r="I166" s="2" t="e">
        <f t="shared" ref="I166:I190" si="67">IF(AND(AI$3,I$563&gt;0),K$17*COS($A166*PI()/180)+I$563,NA())</f>
        <v>#N/A</v>
      </c>
      <c r="J166" s="2" t="e">
        <f t="shared" ref="J166:J190" si="68">IF(AND(AI$3,I$563&gt;0),K$17*SIN($A166*PI()/180)+K$11,NA())</f>
        <v>#N/A</v>
      </c>
      <c r="L166" s="2" t="e">
        <f t="shared" ref="L166:L190" si="69">IF(AND(AJ$3,L$563&gt;0),N$17*COS($A166*PI()/180)+L$563,NA())</f>
        <v>#N/A</v>
      </c>
      <c r="M166" s="2" t="e">
        <f t="shared" ref="M166:M190" si="70">IF(AND(AJ$3,L$563&gt;0),N$17*SIN($A166*PI()/180)+N$11,NA())</f>
        <v>#N/A</v>
      </c>
      <c r="O166" s="2" t="e">
        <f t="shared" ref="O166:O190" si="71">IF(AND(AK$3,O$563&gt;0),Q$17*COS($A166*PI()/180)+O$563,NA())</f>
        <v>#N/A</v>
      </c>
      <c r="P166" s="2" t="e">
        <f t="shared" ref="P166:P190" si="72">IF(AND(AK$3,O$563&gt;0),Q$17*SIN($A166*PI()/180)+Q$11,NA())</f>
        <v>#N/A</v>
      </c>
      <c r="R166" s="2" t="e">
        <f t="shared" ref="R166:R190" si="73">IF(AND(AL$3,R$563&gt;0),T$17*COS($A166*PI()/180)+R$563,NA())</f>
        <v>#N/A</v>
      </c>
      <c r="S166" s="2" t="e">
        <f t="shared" ref="S166:S190" si="74">IF(AND(AL$3,R$563&gt;0),T$17*SIN($A166*PI()/180)+T$11,NA())</f>
        <v>#N/A</v>
      </c>
      <c r="U166" s="2" t="e">
        <f t="shared" ref="U166:U190" si="75">IF(AND(AM$3,U$563&gt;0),W$17*COS($A166*PI()/180)+U$563,NA())</f>
        <v>#N/A</v>
      </c>
      <c r="V166" s="2" t="e">
        <f t="shared" ref="V166:V190" si="76">IF(AND(AM$3,U$563&gt;0),W$17*SIN($A166*PI()/180)+W$11,NA())</f>
        <v>#N/A</v>
      </c>
      <c r="X166" s="2" t="e">
        <f t="shared" ref="X166:X190" si="77">IF(AND(AN$3,X$563&gt;0),Z$17*COS($A166*PI()/180)+X$563,NA())</f>
        <v>#N/A</v>
      </c>
      <c r="Y166" s="2" t="e">
        <f t="shared" ref="Y166:Y190" si="78">IF(AND(AN$3,X$563&gt;0),Z$17*SIN($A166*PI()/180)+Z$11,NA())</f>
        <v>#N/A</v>
      </c>
      <c r="AA166" s="2" t="e">
        <f t="shared" ref="AA166:AA190" si="79">IF(AND(AO$3,AA$563&gt;0),AC$17*COS($A166*PI()/180)+AA$563,NA())</f>
        <v>#N/A</v>
      </c>
      <c r="AB166" s="2" t="e">
        <f t="shared" ref="AB166:AB190" si="80">IF(AND(AO$3,AA$563&gt;0),AC$17*SIN($A166*PI()/180)+AC$11,NA())</f>
        <v>#N/A</v>
      </c>
      <c r="BB166" s="5"/>
      <c r="BC166" s="5"/>
      <c r="BD166" s="5"/>
      <c r="BE166" s="5"/>
      <c r="BF166" s="5"/>
      <c r="BG166" s="5"/>
      <c r="BH166" s="5"/>
    </row>
    <row r="167" spans="1:60" s="2" customFormat="1">
      <c r="A167" s="70">
        <v>15</v>
      </c>
      <c r="C167" s="2" t="e">
        <f t="shared" si="63"/>
        <v>#N/A</v>
      </c>
      <c r="D167" s="2" t="e">
        <f t="shared" si="64"/>
        <v>#N/A</v>
      </c>
      <c r="F167" s="2" t="e">
        <f t="shared" si="65"/>
        <v>#N/A</v>
      </c>
      <c r="G167" s="2" t="e">
        <f t="shared" si="66"/>
        <v>#N/A</v>
      </c>
      <c r="I167" s="2" t="e">
        <f t="shared" si="67"/>
        <v>#N/A</v>
      </c>
      <c r="J167" s="2" t="e">
        <f t="shared" si="68"/>
        <v>#N/A</v>
      </c>
      <c r="L167" s="2" t="e">
        <f t="shared" si="69"/>
        <v>#N/A</v>
      </c>
      <c r="M167" s="2" t="e">
        <f t="shared" si="70"/>
        <v>#N/A</v>
      </c>
      <c r="O167" s="2" t="e">
        <f t="shared" si="71"/>
        <v>#N/A</v>
      </c>
      <c r="P167" s="2" t="e">
        <f t="shared" si="72"/>
        <v>#N/A</v>
      </c>
      <c r="R167" s="2" t="e">
        <f t="shared" si="73"/>
        <v>#N/A</v>
      </c>
      <c r="S167" s="2" t="e">
        <f t="shared" si="74"/>
        <v>#N/A</v>
      </c>
      <c r="U167" s="2" t="e">
        <f t="shared" si="75"/>
        <v>#N/A</v>
      </c>
      <c r="V167" s="2" t="e">
        <f t="shared" si="76"/>
        <v>#N/A</v>
      </c>
      <c r="X167" s="2" t="e">
        <f t="shared" si="77"/>
        <v>#N/A</v>
      </c>
      <c r="Y167" s="2" t="e">
        <f t="shared" si="78"/>
        <v>#N/A</v>
      </c>
      <c r="AA167" s="2" t="e">
        <f t="shared" si="79"/>
        <v>#N/A</v>
      </c>
      <c r="AB167" s="2" t="e">
        <f t="shared" si="80"/>
        <v>#N/A</v>
      </c>
      <c r="BB167" s="5"/>
      <c r="BC167" s="5"/>
      <c r="BD167" s="5"/>
      <c r="BE167" s="5"/>
      <c r="BF167" s="5"/>
      <c r="BG167" s="5"/>
      <c r="BH167" s="5"/>
    </row>
    <row r="168" spans="1:60" s="2" customFormat="1">
      <c r="A168" s="70">
        <v>30</v>
      </c>
      <c r="C168" s="2" t="e">
        <f t="shared" si="63"/>
        <v>#N/A</v>
      </c>
      <c r="D168" s="2" t="e">
        <f t="shared" si="64"/>
        <v>#N/A</v>
      </c>
      <c r="F168" s="2" t="e">
        <f t="shared" si="65"/>
        <v>#N/A</v>
      </c>
      <c r="G168" s="2" t="e">
        <f t="shared" si="66"/>
        <v>#N/A</v>
      </c>
      <c r="I168" s="2" t="e">
        <f t="shared" si="67"/>
        <v>#N/A</v>
      </c>
      <c r="J168" s="2" t="e">
        <f t="shared" si="68"/>
        <v>#N/A</v>
      </c>
      <c r="L168" s="2" t="e">
        <f t="shared" si="69"/>
        <v>#N/A</v>
      </c>
      <c r="M168" s="2" t="e">
        <f t="shared" si="70"/>
        <v>#N/A</v>
      </c>
      <c r="O168" s="2" t="e">
        <f t="shared" si="71"/>
        <v>#N/A</v>
      </c>
      <c r="P168" s="2" t="e">
        <f t="shared" si="72"/>
        <v>#N/A</v>
      </c>
      <c r="R168" s="2" t="e">
        <f t="shared" si="73"/>
        <v>#N/A</v>
      </c>
      <c r="S168" s="2" t="e">
        <f t="shared" si="74"/>
        <v>#N/A</v>
      </c>
      <c r="U168" s="2" t="e">
        <f t="shared" si="75"/>
        <v>#N/A</v>
      </c>
      <c r="V168" s="2" t="e">
        <f t="shared" si="76"/>
        <v>#N/A</v>
      </c>
      <c r="X168" s="2" t="e">
        <f t="shared" si="77"/>
        <v>#N/A</v>
      </c>
      <c r="Y168" s="2" t="e">
        <f t="shared" si="78"/>
        <v>#N/A</v>
      </c>
      <c r="AA168" s="2" t="e">
        <f t="shared" si="79"/>
        <v>#N/A</v>
      </c>
      <c r="AB168" s="2" t="e">
        <f t="shared" si="80"/>
        <v>#N/A</v>
      </c>
      <c r="BB168" s="5"/>
      <c r="BC168" s="5"/>
      <c r="BD168" s="5"/>
      <c r="BE168" s="5"/>
      <c r="BF168" s="5"/>
      <c r="BG168" s="5"/>
      <c r="BH168" s="5"/>
    </row>
    <row r="169" spans="1:60" s="2" customFormat="1">
      <c r="A169" s="70">
        <v>45</v>
      </c>
      <c r="C169" s="2" t="e">
        <f t="shared" si="63"/>
        <v>#N/A</v>
      </c>
      <c r="D169" s="2" t="e">
        <f t="shared" si="64"/>
        <v>#N/A</v>
      </c>
      <c r="F169" s="2" t="e">
        <f t="shared" si="65"/>
        <v>#N/A</v>
      </c>
      <c r="G169" s="2" t="e">
        <f t="shared" si="66"/>
        <v>#N/A</v>
      </c>
      <c r="I169" s="2" t="e">
        <f t="shared" si="67"/>
        <v>#N/A</v>
      </c>
      <c r="J169" s="2" t="e">
        <f t="shared" si="68"/>
        <v>#N/A</v>
      </c>
      <c r="L169" s="2" t="e">
        <f t="shared" si="69"/>
        <v>#N/A</v>
      </c>
      <c r="M169" s="2" t="e">
        <f t="shared" si="70"/>
        <v>#N/A</v>
      </c>
      <c r="O169" s="2" t="e">
        <f t="shared" si="71"/>
        <v>#N/A</v>
      </c>
      <c r="P169" s="2" t="e">
        <f t="shared" si="72"/>
        <v>#N/A</v>
      </c>
      <c r="R169" s="2" t="e">
        <f t="shared" si="73"/>
        <v>#N/A</v>
      </c>
      <c r="S169" s="2" t="e">
        <f t="shared" si="74"/>
        <v>#N/A</v>
      </c>
      <c r="U169" s="2" t="e">
        <f t="shared" si="75"/>
        <v>#N/A</v>
      </c>
      <c r="V169" s="2" t="e">
        <f t="shared" si="76"/>
        <v>#N/A</v>
      </c>
      <c r="X169" s="2" t="e">
        <f t="shared" si="77"/>
        <v>#N/A</v>
      </c>
      <c r="Y169" s="2" t="e">
        <f t="shared" si="78"/>
        <v>#N/A</v>
      </c>
      <c r="AA169" s="2" t="e">
        <f t="shared" si="79"/>
        <v>#N/A</v>
      </c>
      <c r="AB169" s="2" t="e">
        <f t="shared" si="80"/>
        <v>#N/A</v>
      </c>
      <c r="BB169" s="5"/>
      <c r="BC169" s="5"/>
      <c r="BD169" s="5"/>
      <c r="BE169" s="5"/>
      <c r="BF169" s="5"/>
      <c r="BG169" s="5"/>
      <c r="BH169" s="5"/>
    </row>
    <row r="170" spans="1:60" s="2" customFormat="1">
      <c r="A170" s="70">
        <v>60</v>
      </c>
      <c r="C170" s="2" t="e">
        <f t="shared" si="63"/>
        <v>#N/A</v>
      </c>
      <c r="D170" s="2" t="e">
        <f t="shared" si="64"/>
        <v>#N/A</v>
      </c>
      <c r="F170" s="2" t="e">
        <f t="shared" si="65"/>
        <v>#N/A</v>
      </c>
      <c r="G170" s="2" t="e">
        <f t="shared" si="66"/>
        <v>#N/A</v>
      </c>
      <c r="I170" s="2" t="e">
        <f t="shared" si="67"/>
        <v>#N/A</v>
      </c>
      <c r="J170" s="2" t="e">
        <f t="shared" si="68"/>
        <v>#N/A</v>
      </c>
      <c r="L170" s="2" t="e">
        <f t="shared" si="69"/>
        <v>#N/A</v>
      </c>
      <c r="M170" s="2" t="e">
        <f t="shared" si="70"/>
        <v>#N/A</v>
      </c>
      <c r="O170" s="2" t="e">
        <f t="shared" si="71"/>
        <v>#N/A</v>
      </c>
      <c r="P170" s="2" t="e">
        <f t="shared" si="72"/>
        <v>#N/A</v>
      </c>
      <c r="R170" s="2" t="e">
        <f t="shared" si="73"/>
        <v>#N/A</v>
      </c>
      <c r="S170" s="2" t="e">
        <f t="shared" si="74"/>
        <v>#N/A</v>
      </c>
      <c r="U170" s="2" t="e">
        <f t="shared" si="75"/>
        <v>#N/A</v>
      </c>
      <c r="V170" s="2" t="e">
        <f t="shared" si="76"/>
        <v>#N/A</v>
      </c>
      <c r="X170" s="2" t="e">
        <f t="shared" si="77"/>
        <v>#N/A</v>
      </c>
      <c r="Y170" s="2" t="e">
        <f t="shared" si="78"/>
        <v>#N/A</v>
      </c>
      <c r="AA170" s="2" t="e">
        <f t="shared" si="79"/>
        <v>#N/A</v>
      </c>
      <c r="AB170" s="2" t="e">
        <f t="shared" si="80"/>
        <v>#N/A</v>
      </c>
      <c r="BB170" s="5"/>
      <c r="BC170" s="5"/>
      <c r="BD170" s="5"/>
      <c r="BE170" s="5"/>
      <c r="BF170" s="5"/>
      <c r="BG170" s="5"/>
      <c r="BH170" s="5"/>
    </row>
    <row r="171" spans="1:60" s="2" customFormat="1">
      <c r="A171" s="70">
        <v>75</v>
      </c>
      <c r="C171" s="2" t="e">
        <f t="shared" si="63"/>
        <v>#N/A</v>
      </c>
      <c r="D171" s="2" t="e">
        <f t="shared" si="64"/>
        <v>#N/A</v>
      </c>
      <c r="F171" s="2" t="e">
        <f t="shared" si="65"/>
        <v>#N/A</v>
      </c>
      <c r="G171" s="2" t="e">
        <f t="shared" si="66"/>
        <v>#N/A</v>
      </c>
      <c r="I171" s="2" t="e">
        <f t="shared" si="67"/>
        <v>#N/A</v>
      </c>
      <c r="J171" s="2" t="e">
        <f t="shared" si="68"/>
        <v>#N/A</v>
      </c>
      <c r="L171" s="2" t="e">
        <f t="shared" si="69"/>
        <v>#N/A</v>
      </c>
      <c r="M171" s="2" t="e">
        <f t="shared" si="70"/>
        <v>#N/A</v>
      </c>
      <c r="O171" s="2" t="e">
        <f t="shared" si="71"/>
        <v>#N/A</v>
      </c>
      <c r="P171" s="2" t="e">
        <f t="shared" si="72"/>
        <v>#N/A</v>
      </c>
      <c r="R171" s="2" t="e">
        <f t="shared" si="73"/>
        <v>#N/A</v>
      </c>
      <c r="S171" s="2" t="e">
        <f t="shared" si="74"/>
        <v>#N/A</v>
      </c>
      <c r="U171" s="2" t="e">
        <f t="shared" si="75"/>
        <v>#N/A</v>
      </c>
      <c r="V171" s="2" t="e">
        <f t="shared" si="76"/>
        <v>#N/A</v>
      </c>
      <c r="X171" s="2" t="e">
        <f t="shared" si="77"/>
        <v>#N/A</v>
      </c>
      <c r="Y171" s="2" t="e">
        <f t="shared" si="78"/>
        <v>#N/A</v>
      </c>
      <c r="AA171" s="2" t="e">
        <f t="shared" si="79"/>
        <v>#N/A</v>
      </c>
      <c r="AB171" s="2" t="e">
        <f t="shared" si="80"/>
        <v>#N/A</v>
      </c>
      <c r="BB171" s="5"/>
      <c r="BC171" s="5"/>
      <c r="BD171" s="5"/>
      <c r="BE171" s="5"/>
      <c r="BF171" s="5"/>
      <c r="BG171" s="5"/>
      <c r="BH171" s="5"/>
    </row>
    <row r="172" spans="1:60" s="2" customFormat="1">
      <c r="A172" s="70">
        <v>90</v>
      </c>
      <c r="C172" s="2" t="e">
        <f t="shared" si="63"/>
        <v>#N/A</v>
      </c>
      <c r="D172" s="2" t="e">
        <f t="shared" si="64"/>
        <v>#N/A</v>
      </c>
      <c r="F172" s="2" t="e">
        <f t="shared" si="65"/>
        <v>#N/A</v>
      </c>
      <c r="G172" s="2" t="e">
        <f t="shared" si="66"/>
        <v>#N/A</v>
      </c>
      <c r="I172" s="2" t="e">
        <f t="shared" si="67"/>
        <v>#N/A</v>
      </c>
      <c r="J172" s="2" t="e">
        <f t="shared" si="68"/>
        <v>#N/A</v>
      </c>
      <c r="L172" s="2" t="e">
        <f t="shared" si="69"/>
        <v>#N/A</v>
      </c>
      <c r="M172" s="2" t="e">
        <f t="shared" si="70"/>
        <v>#N/A</v>
      </c>
      <c r="O172" s="2" t="e">
        <f t="shared" si="71"/>
        <v>#N/A</v>
      </c>
      <c r="P172" s="2" t="e">
        <f t="shared" si="72"/>
        <v>#N/A</v>
      </c>
      <c r="R172" s="2" t="e">
        <f t="shared" si="73"/>
        <v>#N/A</v>
      </c>
      <c r="S172" s="2" t="e">
        <f t="shared" si="74"/>
        <v>#N/A</v>
      </c>
      <c r="U172" s="2" t="e">
        <f t="shared" si="75"/>
        <v>#N/A</v>
      </c>
      <c r="V172" s="2" t="e">
        <f t="shared" si="76"/>
        <v>#N/A</v>
      </c>
      <c r="X172" s="2" t="e">
        <f t="shared" si="77"/>
        <v>#N/A</v>
      </c>
      <c r="Y172" s="2" t="e">
        <f t="shared" si="78"/>
        <v>#N/A</v>
      </c>
      <c r="AA172" s="2" t="e">
        <f t="shared" si="79"/>
        <v>#N/A</v>
      </c>
      <c r="AB172" s="2" t="e">
        <f t="shared" si="80"/>
        <v>#N/A</v>
      </c>
      <c r="BB172" s="5"/>
      <c r="BC172" s="5"/>
      <c r="BD172" s="5"/>
      <c r="BE172" s="5"/>
      <c r="BF172" s="5"/>
      <c r="BG172" s="5"/>
      <c r="BH172" s="5"/>
    </row>
    <row r="173" spans="1:60" s="2" customFormat="1">
      <c r="A173" s="70">
        <v>105</v>
      </c>
      <c r="C173" s="2" t="e">
        <f t="shared" si="63"/>
        <v>#N/A</v>
      </c>
      <c r="D173" s="2" t="e">
        <f t="shared" si="64"/>
        <v>#N/A</v>
      </c>
      <c r="F173" s="2" t="e">
        <f t="shared" si="65"/>
        <v>#N/A</v>
      </c>
      <c r="G173" s="2" t="e">
        <f t="shared" si="66"/>
        <v>#N/A</v>
      </c>
      <c r="I173" s="2" t="e">
        <f t="shared" si="67"/>
        <v>#N/A</v>
      </c>
      <c r="J173" s="2" t="e">
        <f t="shared" si="68"/>
        <v>#N/A</v>
      </c>
      <c r="L173" s="2" t="e">
        <f t="shared" si="69"/>
        <v>#N/A</v>
      </c>
      <c r="M173" s="2" t="e">
        <f t="shared" si="70"/>
        <v>#N/A</v>
      </c>
      <c r="O173" s="2" t="e">
        <f t="shared" si="71"/>
        <v>#N/A</v>
      </c>
      <c r="P173" s="2" t="e">
        <f t="shared" si="72"/>
        <v>#N/A</v>
      </c>
      <c r="R173" s="2" t="e">
        <f t="shared" si="73"/>
        <v>#N/A</v>
      </c>
      <c r="S173" s="2" t="e">
        <f t="shared" si="74"/>
        <v>#N/A</v>
      </c>
      <c r="U173" s="2" t="e">
        <f t="shared" si="75"/>
        <v>#N/A</v>
      </c>
      <c r="V173" s="2" t="e">
        <f t="shared" si="76"/>
        <v>#N/A</v>
      </c>
      <c r="X173" s="2" t="e">
        <f t="shared" si="77"/>
        <v>#N/A</v>
      </c>
      <c r="Y173" s="2" t="e">
        <f t="shared" si="78"/>
        <v>#N/A</v>
      </c>
      <c r="AA173" s="2" t="e">
        <f t="shared" si="79"/>
        <v>#N/A</v>
      </c>
      <c r="AB173" s="2" t="e">
        <f t="shared" si="80"/>
        <v>#N/A</v>
      </c>
      <c r="BB173" s="5"/>
      <c r="BC173" s="5"/>
      <c r="BD173" s="5"/>
      <c r="BE173" s="5"/>
      <c r="BF173" s="5"/>
      <c r="BG173" s="5"/>
      <c r="BH173" s="5"/>
    </row>
    <row r="174" spans="1:60" s="2" customFormat="1">
      <c r="A174" s="70">
        <v>120</v>
      </c>
      <c r="C174" s="2" t="e">
        <f t="shared" si="63"/>
        <v>#N/A</v>
      </c>
      <c r="D174" s="2" t="e">
        <f t="shared" si="64"/>
        <v>#N/A</v>
      </c>
      <c r="F174" s="2" t="e">
        <f t="shared" si="65"/>
        <v>#N/A</v>
      </c>
      <c r="G174" s="2" t="e">
        <f t="shared" si="66"/>
        <v>#N/A</v>
      </c>
      <c r="I174" s="2" t="e">
        <f t="shared" si="67"/>
        <v>#N/A</v>
      </c>
      <c r="J174" s="2" t="e">
        <f t="shared" si="68"/>
        <v>#N/A</v>
      </c>
      <c r="L174" s="2" t="e">
        <f t="shared" si="69"/>
        <v>#N/A</v>
      </c>
      <c r="M174" s="2" t="e">
        <f t="shared" si="70"/>
        <v>#N/A</v>
      </c>
      <c r="O174" s="2" t="e">
        <f t="shared" si="71"/>
        <v>#N/A</v>
      </c>
      <c r="P174" s="2" t="e">
        <f t="shared" si="72"/>
        <v>#N/A</v>
      </c>
      <c r="R174" s="2" t="e">
        <f t="shared" si="73"/>
        <v>#N/A</v>
      </c>
      <c r="S174" s="2" t="e">
        <f t="shared" si="74"/>
        <v>#N/A</v>
      </c>
      <c r="U174" s="2" t="e">
        <f t="shared" si="75"/>
        <v>#N/A</v>
      </c>
      <c r="V174" s="2" t="e">
        <f t="shared" si="76"/>
        <v>#N/A</v>
      </c>
      <c r="X174" s="2" t="e">
        <f t="shared" si="77"/>
        <v>#N/A</v>
      </c>
      <c r="Y174" s="2" t="e">
        <f t="shared" si="78"/>
        <v>#N/A</v>
      </c>
      <c r="AA174" s="2" t="e">
        <f t="shared" si="79"/>
        <v>#N/A</v>
      </c>
      <c r="AB174" s="2" t="e">
        <f t="shared" si="80"/>
        <v>#N/A</v>
      </c>
      <c r="BB174" s="5"/>
      <c r="BC174" s="5"/>
      <c r="BD174" s="5"/>
      <c r="BE174" s="5"/>
      <c r="BF174" s="5"/>
      <c r="BG174" s="5"/>
      <c r="BH174" s="5"/>
    </row>
    <row r="175" spans="1:60" s="2" customFormat="1">
      <c r="A175" s="70">
        <v>135</v>
      </c>
      <c r="C175" s="2" t="e">
        <f t="shared" si="63"/>
        <v>#N/A</v>
      </c>
      <c r="D175" s="2" t="e">
        <f t="shared" si="64"/>
        <v>#N/A</v>
      </c>
      <c r="F175" s="2" t="e">
        <f t="shared" si="65"/>
        <v>#N/A</v>
      </c>
      <c r="G175" s="2" t="e">
        <f t="shared" si="66"/>
        <v>#N/A</v>
      </c>
      <c r="I175" s="2" t="e">
        <f t="shared" si="67"/>
        <v>#N/A</v>
      </c>
      <c r="J175" s="2" t="e">
        <f t="shared" si="68"/>
        <v>#N/A</v>
      </c>
      <c r="L175" s="2" t="e">
        <f t="shared" si="69"/>
        <v>#N/A</v>
      </c>
      <c r="M175" s="2" t="e">
        <f t="shared" si="70"/>
        <v>#N/A</v>
      </c>
      <c r="O175" s="2" t="e">
        <f t="shared" si="71"/>
        <v>#N/A</v>
      </c>
      <c r="P175" s="2" t="e">
        <f t="shared" si="72"/>
        <v>#N/A</v>
      </c>
      <c r="R175" s="2" t="e">
        <f t="shared" si="73"/>
        <v>#N/A</v>
      </c>
      <c r="S175" s="2" t="e">
        <f t="shared" si="74"/>
        <v>#N/A</v>
      </c>
      <c r="U175" s="2" t="e">
        <f t="shared" si="75"/>
        <v>#N/A</v>
      </c>
      <c r="V175" s="2" t="e">
        <f t="shared" si="76"/>
        <v>#N/A</v>
      </c>
      <c r="X175" s="2" t="e">
        <f t="shared" si="77"/>
        <v>#N/A</v>
      </c>
      <c r="Y175" s="2" t="e">
        <f t="shared" si="78"/>
        <v>#N/A</v>
      </c>
      <c r="AA175" s="2" t="e">
        <f t="shared" si="79"/>
        <v>#N/A</v>
      </c>
      <c r="AB175" s="2" t="e">
        <f t="shared" si="80"/>
        <v>#N/A</v>
      </c>
      <c r="BB175" s="5"/>
      <c r="BC175" s="5"/>
      <c r="BD175" s="5"/>
      <c r="BE175" s="5"/>
      <c r="BF175" s="5"/>
      <c r="BG175" s="5"/>
      <c r="BH175" s="5"/>
    </row>
    <row r="176" spans="1:60" s="2" customFormat="1">
      <c r="A176" s="70">
        <v>150</v>
      </c>
      <c r="C176" s="2" t="e">
        <f t="shared" si="63"/>
        <v>#N/A</v>
      </c>
      <c r="D176" s="2" t="e">
        <f t="shared" si="64"/>
        <v>#N/A</v>
      </c>
      <c r="F176" s="2" t="e">
        <f t="shared" si="65"/>
        <v>#N/A</v>
      </c>
      <c r="G176" s="2" t="e">
        <f t="shared" si="66"/>
        <v>#N/A</v>
      </c>
      <c r="I176" s="2" t="e">
        <f t="shared" si="67"/>
        <v>#N/A</v>
      </c>
      <c r="J176" s="2" t="e">
        <f t="shared" si="68"/>
        <v>#N/A</v>
      </c>
      <c r="L176" s="2" t="e">
        <f t="shared" si="69"/>
        <v>#N/A</v>
      </c>
      <c r="M176" s="2" t="e">
        <f t="shared" si="70"/>
        <v>#N/A</v>
      </c>
      <c r="O176" s="2" t="e">
        <f t="shared" si="71"/>
        <v>#N/A</v>
      </c>
      <c r="P176" s="2" t="e">
        <f t="shared" si="72"/>
        <v>#N/A</v>
      </c>
      <c r="R176" s="2" t="e">
        <f t="shared" si="73"/>
        <v>#N/A</v>
      </c>
      <c r="S176" s="2" t="e">
        <f t="shared" si="74"/>
        <v>#N/A</v>
      </c>
      <c r="U176" s="2" t="e">
        <f t="shared" si="75"/>
        <v>#N/A</v>
      </c>
      <c r="V176" s="2" t="e">
        <f t="shared" si="76"/>
        <v>#N/A</v>
      </c>
      <c r="X176" s="2" t="e">
        <f t="shared" si="77"/>
        <v>#N/A</v>
      </c>
      <c r="Y176" s="2" t="e">
        <f t="shared" si="78"/>
        <v>#N/A</v>
      </c>
      <c r="AA176" s="2" t="e">
        <f t="shared" si="79"/>
        <v>#N/A</v>
      </c>
      <c r="AB176" s="2" t="e">
        <f t="shared" si="80"/>
        <v>#N/A</v>
      </c>
      <c r="BB176" s="5"/>
      <c r="BC176" s="5"/>
      <c r="BD176" s="5"/>
      <c r="BE176" s="5"/>
      <c r="BF176" s="5"/>
      <c r="BG176" s="5"/>
      <c r="BH176" s="5"/>
    </row>
    <row r="177" spans="1:60" s="2" customFormat="1">
      <c r="A177" s="70">
        <v>165</v>
      </c>
      <c r="C177" s="2" t="e">
        <f t="shared" si="63"/>
        <v>#N/A</v>
      </c>
      <c r="D177" s="2" t="e">
        <f t="shared" si="64"/>
        <v>#N/A</v>
      </c>
      <c r="F177" s="2" t="e">
        <f t="shared" si="65"/>
        <v>#N/A</v>
      </c>
      <c r="G177" s="2" t="e">
        <f t="shared" si="66"/>
        <v>#N/A</v>
      </c>
      <c r="I177" s="2" t="e">
        <f t="shared" si="67"/>
        <v>#N/A</v>
      </c>
      <c r="J177" s="2" t="e">
        <f t="shared" si="68"/>
        <v>#N/A</v>
      </c>
      <c r="L177" s="2" t="e">
        <f t="shared" si="69"/>
        <v>#N/A</v>
      </c>
      <c r="M177" s="2" t="e">
        <f t="shared" si="70"/>
        <v>#N/A</v>
      </c>
      <c r="O177" s="2" t="e">
        <f t="shared" si="71"/>
        <v>#N/A</v>
      </c>
      <c r="P177" s="2" t="e">
        <f t="shared" si="72"/>
        <v>#N/A</v>
      </c>
      <c r="R177" s="2" t="e">
        <f t="shared" si="73"/>
        <v>#N/A</v>
      </c>
      <c r="S177" s="2" t="e">
        <f t="shared" si="74"/>
        <v>#N/A</v>
      </c>
      <c r="U177" s="2" t="e">
        <f t="shared" si="75"/>
        <v>#N/A</v>
      </c>
      <c r="V177" s="2" t="e">
        <f t="shared" si="76"/>
        <v>#N/A</v>
      </c>
      <c r="X177" s="2" t="e">
        <f t="shared" si="77"/>
        <v>#N/A</v>
      </c>
      <c r="Y177" s="2" t="e">
        <f t="shared" si="78"/>
        <v>#N/A</v>
      </c>
      <c r="AA177" s="2" t="e">
        <f t="shared" si="79"/>
        <v>#N/A</v>
      </c>
      <c r="AB177" s="2" t="e">
        <f t="shared" si="80"/>
        <v>#N/A</v>
      </c>
      <c r="BB177" s="5"/>
      <c r="BC177" s="5"/>
      <c r="BD177" s="5"/>
      <c r="BE177" s="5"/>
      <c r="BF177" s="5"/>
      <c r="BG177" s="5"/>
      <c r="BH177" s="5"/>
    </row>
    <row r="178" spans="1:60" s="2" customFormat="1">
      <c r="A178" s="70">
        <v>180</v>
      </c>
      <c r="C178" s="2" t="e">
        <f t="shared" si="63"/>
        <v>#N/A</v>
      </c>
      <c r="D178" s="2" t="e">
        <f t="shared" si="64"/>
        <v>#N/A</v>
      </c>
      <c r="F178" s="2" t="e">
        <f t="shared" si="65"/>
        <v>#N/A</v>
      </c>
      <c r="G178" s="2" t="e">
        <f t="shared" si="66"/>
        <v>#N/A</v>
      </c>
      <c r="I178" s="2" t="e">
        <f t="shared" si="67"/>
        <v>#N/A</v>
      </c>
      <c r="J178" s="2" t="e">
        <f t="shared" si="68"/>
        <v>#N/A</v>
      </c>
      <c r="L178" s="2" t="e">
        <f t="shared" si="69"/>
        <v>#N/A</v>
      </c>
      <c r="M178" s="2" t="e">
        <f t="shared" si="70"/>
        <v>#N/A</v>
      </c>
      <c r="O178" s="2" t="e">
        <f t="shared" si="71"/>
        <v>#N/A</v>
      </c>
      <c r="P178" s="2" t="e">
        <f t="shared" si="72"/>
        <v>#N/A</v>
      </c>
      <c r="R178" s="2" t="e">
        <f t="shared" si="73"/>
        <v>#N/A</v>
      </c>
      <c r="S178" s="2" t="e">
        <f t="shared" si="74"/>
        <v>#N/A</v>
      </c>
      <c r="U178" s="2" t="e">
        <f t="shared" si="75"/>
        <v>#N/A</v>
      </c>
      <c r="V178" s="2" t="e">
        <f t="shared" si="76"/>
        <v>#N/A</v>
      </c>
      <c r="X178" s="2" t="e">
        <f t="shared" si="77"/>
        <v>#N/A</v>
      </c>
      <c r="Y178" s="2" t="e">
        <f t="shared" si="78"/>
        <v>#N/A</v>
      </c>
      <c r="AA178" s="2" t="e">
        <f t="shared" si="79"/>
        <v>#N/A</v>
      </c>
      <c r="AB178" s="2" t="e">
        <f t="shared" si="80"/>
        <v>#N/A</v>
      </c>
      <c r="BB178" s="5"/>
      <c r="BC178" s="5"/>
      <c r="BD178" s="5"/>
      <c r="BE178" s="5"/>
      <c r="BF178" s="5"/>
      <c r="BG178" s="5"/>
      <c r="BH178" s="5"/>
    </row>
    <row r="179" spans="1:60" s="2" customFormat="1">
      <c r="A179" s="70">
        <v>195</v>
      </c>
      <c r="C179" s="2" t="e">
        <f t="shared" si="63"/>
        <v>#N/A</v>
      </c>
      <c r="D179" s="2" t="e">
        <f t="shared" si="64"/>
        <v>#N/A</v>
      </c>
      <c r="F179" s="2" t="e">
        <f t="shared" si="65"/>
        <v>#N/A</v>
      </c>
      <c r="G179" s="2" t="e">
        <f t="shared" si="66"/>
        <v>#N/A</v>
      </c>
      <c r="I179" s="2" t="e">
        <f t="shared" si="67"/>
        <v>#N/A</v>
      </c>
      <c r="J179" s="2" t="e">
        <f t="shared" si="68"/>
        <v>#N/A</v>
      </c>
      <c r="L179" s="2" t="e">
        <f t="shared" si="69"/>
        <v>#N/A</v>
      </c>
      <c r="M179" s="2" t="e">
        <f t="shared" si="70"/>
        <v>#N/A</v>
      </c>
      <c r="O179" s="2" t="e">
        <f t="shared" si="71"/>
        <v>#N/A</v>
      </c>
      <c r="P179" s="2" t="e">
        <f t="shared" si="72"/>
        <v>#N/A</v>
      </c>
      <c r="R179" s="2" t="e">
        <f t="shared" si="73"/>
        <v>#N/A</v>
      </c>
      <c r="S179" s="2" t="e">
        <f t="shared" si="74"/>
        <v>#N/A</v>
      </c>
      <c r="U179" s="2" t="e">
        <f t="shared" si="75"/>
        <v>#N/A</v>
      </c>
      <c r="V179" s="2" t="e">
        <f t="shared" si="76"/>
        <v>#N/A</v>
      </c>
      <c r="X179" s="2" t="e">
        <f t="shared" si="77"/>
        <v>#N/A</v>
      </c>
      <c r="Y179" s="2" t="e">
        <f t="shared" si="78"/>
        <v>#N/A</v>
      </c>
      <c r="AA179" s="2" t="e">
        <f t="shared" si="79"/>
        <v>#N/A</v>
      </c>
      <c r="AB179" s="2" t="e">
        <f t="shared" si="80"/>
        <v>#N/A</v>
      </c>
      <c r="BB179" s="5"/>
      <c r="BC179" s="5"/>
      <c r="BD179" s="5"/>
      <c r="BE179" s="5"/>
      <c r="BF179" s="5"/>
      <c r="BG179" s="5"/>
      <c r="BH179" s="5"/>
    </row>
    <row r="180" spans="1:60" s="2" customFormat="1">
      <c r="A180" s="70">
        <v>210</v>
      </c>
      <c r="C180" s="2" t="e">
        <f t="shared" si="63"/>
        <v>#N/A</v>
      </c>
      <c r="D180" s="2" t="e">
        <f t="shared" si="64"/>
        <v>#N/A</v>
      </c>
      <c r="F180" s="2" t="e">
        <f t="shared" si="65"/>
        <v>#N/A</v>
      </c>
      <c r="G180" s="2" t="e">
        <f t="shared" si="66"/>
        <v>#N/A</v>
      </c>
      <c r="I180" s="2" t="e">
        <f t="shared" si="67"/>
        <v>#N/A</v>
      </c>
      <c r="J180" s="2" t="e">
        <f t="shared" si="68"/>
        <v>#N/A</v>
      </c>
      <c r="L180" s="2" t="e">
        <f t="shared" si="69"/>
        <v>#N/A</v>
      </c>
      <c r="M180" s="2" t="e">
        <f t="shared" si="70"/>
        <v>#N/A</v>
      </c>
      <c r="O180" s="2" t="e">
        <f t="shared" si="71"/>
        <v>#N/A</v>
      </c>
      <c r="P180" s="2" t="e">
        <f t="shared" si="72"/>
        <v>#N/A</v>
      </c>
      <c r="R180" s="2" t="e">
        <f t="shared" si="73"/>
        <v>#N/A</v>
      </c>
      <c r="S180" s="2" t="e">
        <f t="shared" si="74"/>
        <v>#N/A</v>
      </c>
      <c r="U180" s="2" t="e">
        <f t="shared" si="75"/>
        <v>#N/A</v>
      </c>
      <c r="V180" s="2" t="e">
        <f t="shared" si="76"/>
        <v>#N/A</v>
      </c>
      <c r="X180" s="2" t="e">
        <f t="shared" si="77"/>
        <v>#N/A</v>
      </c>
      <c r="Y180" s="2" t="e">
        <f t="shared" si="78"/>
        <v>#N/A</v>
      </c>
      <c r="AA180" s="2" t="e">
        <f t="shared" si="79"/>
        <v>#N/A</v>
      </c>
      <c r="AB180" s="2" t="e">
        <f t="shared" si="80"/>
        <v>#N/A</v>
      </c>
      <c r="BB180" s="5"/>
      <c r="BC180" s="5"/>
      <c r="BD180" s="5"/>
      <c r="BE180" s="5"/>
      <c r="BF180" s="5"/>
      <c r="BG180" s="5"/>
      <c r="BH180" s="5"/>
    </row>
    <row r="181" spans="1:60" s="2" customFormat="1">
      <c r="A181" s="70">
        <v>225</v>
      </c>
      <c r="C181" s="2" t="e">
        <f t="shared" si="63"/>
        <v>#N/A</v>
      </c>
      <c r="D181" s="2" t="e">
        <f t="shared" si="64"/>
        <v>#N/A</v>
      </c>
      <c r="F181" s="2" t="e">
        <f t="shared" si="65"/>
        <v>#N/A</v>
      </c>
      <c r="G181" s="2" t="e">
        <f t="shared" si="66"/>
        <v>#N/A</v>
      </c>
      <c r="I181" s="2" t="e">
        <f t="shared" si="67"/>
        <v>#N/A</v>
      </c>
      <c r="J181" s="2" t="e">
        <f t="shared" si="68"/>
        <v>#N/A</v>
      </c>
      <c r="L181" s="2" t="e">
        <f t="shared" si="69"/>
        <v>#N/A</v>
      </c>
      <c r="M181" s="2" t="e">
        <f t="shared" si="70"/>
        <v>#N/A</v>
      </c>
      <c r="O181" s="2" t="e">
        <f t="shared" si="71"/>
        <v>#N/A</v>
      </c>
      <c r="P181" s="2" t="e">
        <f t="shared" si="72"/>
        <v>#N/A</v>
      </c>
      <c r="R181" s="2" t="e">
        <f t="shared" si="73"/>
        <v>#N/A</v>
      </c>
      <c r="S181" s="2" t="e">
        <f t="shared" si="74"/>
        <v>#N/A</v>
      </c>
      <c r="U181" s="2" t="e">
        <f t="shared" si="75"/>
        <v>#N/A</v>
      </c>
      <c r="V181" s="2" t="e">
        <f t="shared" si="76"/>
        <v>#N/A</v>
      </c>
      <c r="X181" s="2" t="e">
        <f t="shared" si="77"/>
        <v>#N/A</v>
      </c>
      <c r="Y181" s="2" t="e">
        <f t="shared" si="78"/>
        <v>#N/A</v>
      </c>
      <c r="AA181" s="2" t="e">
        <f t="shared" si="79"/>
        <v>#N/A</v>
      </c>
      <c r="AB181" s="2" t="e">
        <f t="shared" si="80"/>
        <v>#N/A</v>
      </c>
      <c r="BB181" s="5"/>
      <c r="BC181" s="5"/>
      <c r="BD181" s="5"/>
      <c r="BE181" s="5"/>
      <c r="BF181" s="5"/>
      <c r="BG181" s="5"/>
      <c r="BH181" s="5"/>
    </row>
    <row r="182" spans="1:60" s="2" customFormat="1">
      <c r="A182" s="70">
        <v>240</v>
      </c>
      <c r="C182" s="2" t="e">
        <f t="shared" si="63"/>
        <v>#N/A</v>
      </c>
      <c r="D182" s="2" t="e">
        <f t="shared" si="64"/>
        <v>#N/A</v>
      </c>
      <c r="F182" s="2" t="e">
        <f t="shared" si="65"/>
        <v>#N/A</v>
      </c>
      <c r="G182" s="2" t="e">
        <f t="shared" si="66"/>
        <v>#N/A</v>
      </c>
      <c r="I182" s="2" t="e">
        <f t="shared" si="67"/>
        <v>#N/A</v>
      </c>
      <c r="J182" s="2" t="e">
        <f t="shared" si="68"/>
        <v>#N/A</v>
      </c>
      <c r="L182" s="2" t="e">
        <f t="shared" si="69"/>
        <v>#N/A</v>
      </c>
      <c r="M182" s="2" t="e">
        <f t="shared" si="70"/>
        <v>#N/A</v>
      </c>
      <c r="O182" s="2" t="e">
        <f t="shared" si="71"/>
        <v>#N/A</v>
      </c>
      <c r="P182" s="2" t="e">
        <f t="shared" si="72"/>
        <v>#N/A</v>
      </c>
      <c r="R182" s="2" t="e">
        <f t="shared" si="73"/>
        <v>#N/A</v>
      </c>
      <c r="S182" s="2" t="e">
        <f t="shared" si="74"/>
        <v>#N/A</v>
      </c>
      <c r="U182" s="2" t="e">
        <f t="shared" si="75"/>
        <v>#N/A</v>
      </c>
      <c r="V182" s="2" t="e">
        <f t="shared" si="76"/>
        <v>#N/A</v>
      </c>
      <c r="X182" s="2" t="e">
        <f t="shared" si="77"/>
        <v>#N/A</v>
      </c>
      <c r="Y182" s="2" t="e">
        <f t="shared" si="78"/>
        <v>#N/A</v>
      </c>
      <c r="AA182" s="2" t="e">
        <f t="shared" si="79"/>
        <v>#N/A</v>
      </c>
      <c r="AB182" s="2" t="e">
        <f t="shared" si="80"/>
        <v>#N/A</v>
      </c>
      <c r="BB182" s="5"/>
      <c r="BC182" s="5"/>
      <c r="BD182" s="5"/>
      <c r="BE182" s="5"/>
      <c r="BF182" s="5"/>
      <c r="BG182" s="5"/>
      <c r="BH182" s="5"/>
    </row>
    <row r="183" spans="1:60" s="2" customFormat="1">
      <c r="A183" s="70">
        <v>255</v>
      </c>
      <c r="C183" s="2" t="e">
        <f t="shared" si="63"/>
        <v>#N/A</v>
      </c>
      <c r="D183" s="2" t="e">
        <f t="shared" si="64"/>
        <v>#N/A</v>
      </c>
      <c r="F183" s="2" t="e">
        <f t="shared" si="65"/>
        <v>#N/A</v>
      </c>
      <c r="G183" s="2" t="e">
        <f t="shared" si="66"/>
        <v>#N/A</v>
      </c>
      <c r="I183" s="2" t="e">
        <f t="shared" si="67"/>
        <v>#N/A</v>
      </c>
      <c r="J183" s="2" t="e">
        <f t="shared" si="68"/>
        <v>#N/A</v>
      </c>
      <c r="L183" s="2" t="e">
        <f t="shared" si="69"/>
        <v>#N/A</v>
      </c>
      <c r="M183" s="2" t="e">
        <f t="shared" si="70"/>
        <v>#N/A</v>
      </c>
      <c r="O183" s="2" t="e">
        <f t="shared" si="71"/>
        <v>#N/A</v>
      </c>
      <c r="P183" s="2" t="e">
        <f t="shared" si="72"/>
        <v>#N/A</v>
      </c>
      <c r="R183" s="2" t="e">
        <f t="shared" si="73"/>
        <v>#N/A</v>
      </c>
      <c r="S183" s="2" t="e">
        <f t="shared" si="74"/>
        <v>#N/A</v>
      </c>
      <c r="U183" s="2" t="e">
        <f t="shared" si="75"/>
        <v>#N/A</v>
      </c>
      <c r="V183" s="2" t="e">
        <f t="shared" si="76"/>
        <v>#N/A</v>
      </c>
      <c r="X183" s="2" t="e">
        <f t="shared" si="77"/>
        <v>#N/A</v>
      </c>
      <c r="Y183" s="2" t="e">
        <f t="shared" si="78"/>
        <v>#N/A</v>
      </c>
      <c r="AA183" s="2" t="e">
        <f t="shared" si="79"/>
        <v>#N/A</v>
      </c>
      <c r="AB183" s="2" t="e">
        <f t="shared" si="80"/>
        <v>#N/A</v>
      </c>
      <c r="BB183" s="5"/>
      <c r="BC183" s="5"/>
      <c r="BD183" s="5"/>
      <c r="BE183" s="5"/>
      <c r="BF183" s="5"/>
      <c r="BG183" s="5"/>
      <c r="BH183" s="5"/>
    </row>
    <row r="184" spans="1:60" s="2" customFormat="1">
      <c r="A184" s="70">
        <v>270</v>
      </c>
      <c r="C184" s="2" t="e">
        <f t="shared" si="63"/>
        <v>#N/A</v>
      </c>
      <c r="D184" s="2" t="e">
        <f t="shared" si="64"/>
        <v>#N/A</v>
      </c>
      <c r="F184" s="2" t="e">
        <f t="shared" si="65"/>
        <v>#N/A</v>
      </c>
      <c r="G184" s="2" t="e">
        <f t="shared" si="66"/>
        <v>#N/A</v>
      </c>
      <c r="I184" s="2" t="e">
        <f t="shared" si="67"/>
        <v>#N/A</v>
      </c>
      <c r="J184" s="2" t="e">
        <f t="shared" si="68"/>
        <v>#N/A</v>
      </c>
      <c r="L184" s="2" t="e">
        <f t="shared" si="69"/>
        <v>#N/A</v>
      </c>
      <c r="M184" s="2" t="e">
        <f t="shared" si="70"/>
        <v>#N/A</v>
      </c>
      <c r="O184" s="2" t="e">
        <f t="shared" si="71"/>
        <v>#N/A</v>
      </c>
      <c r="P184" s="2" t="e">
        <f t="shared" si="72"/>
        <v>#N/A</v>
      </c>
      <c r="R184" s="2" t="e">
        <f t="shared" si="73"/>
        <v>#N/A</v>
      </c>
      <c r="S184" s="2" t="e">
        <f t="shared" si="74"/>
        <v>#N/A</v>
      </c>
      <c r="U184" s="2" t="e">
        <f t="shared" si="75"/>
        <v>#N/A</v>
      </c>
      <c r="V184" s="2" t="e">
        <f t="shared" si="76"/>
        <v>#N/A</v>
      </c>
      <c r="X184" s="2" t="e">
        <f t="shared" si="77"/>
        <v>#N/A</v>
      </c>
      <c r="Y184" s="2" t="e">
        <f t="shared" si="78"/>
        <v>#N/A</v>
      </c>
      <c r="AA184" s="2" t="e">
        <f t="shared" si="79"/>
        <v>#N/A</v>
      </c>
      <c r="AB184" s="2" t="e">
        <f t="shared" si="80"/>
        <v>#N/A</v>
      </c>
      <c r="BB184" s="5"/>
      <c r="BC184" s="5"/>
      <c r="BD184" s="5"/>
      <c r="BE184" s="5"/>
      <c r="BF184" s="5"/>
      <c r="BG184" s="5"/>
      <c r="BH184" s="5"/>
    </row>
    <row r="185" spans="1:60" s="2" customFormat="1">
      <c r="A185" s="70">
        <v>285</v>
      </c>
      <c r="C185" s="2" t="e">
        <f t="shared" si="63"/>
        <v>#N/A</v>
      </c>
      <c r="D185" s="2" t="e">
        <f t="shared" si="64"/>
        <v>#N/A</v>
      </c>
      <c r="F185" s="2" t="e">
        <f t="shared" si="65"/>
        <v>#N/A</v>
      </c>
      <c r="G185" s="2" t="e">
        <f t="shared" si="66"/>
        <v>#N/A</v>
      </c>
      <c r="I185" s="2" t="e">
        <f t="shared" si="67"/>
        <v>#N/A</v>
      </c>
      <c r="J185" s="2" t="e">
        <f t="shared" si="68"/>
        <v>#N/A</v>
      </c>
      <c r="L185" s="2" t="e">
        <f t="shared" si="69"/>
        <v>#N/A</v>
      </c>
      <c r="M185" s="2" t="e">
        <f t="shared" si="70"/>
        <v>#N/A</v>
      </c>
      <c r="O185" s="2" t="e">
        <f t="shared" si="71"/>
        <v>#N/A</v>
      </c>
      <c r="P185" s="2" t="e">
        <f t="shared" si="72"/>
        <v>#N/A</v>
      </c>
      <c r="R185" s="2" t="e">
        <f t="shared" si="73"/>
        <v>#N/A</v>
      </c>
      <c r="S185" s="2" t="e">
        <f t="shared" si="74"/>
        <v>#N/A</v>
      </c>
      <c r="U185" s="2" t="e">
        <f t="shared" si="75"/>
        <v>#N/A</v>
      </c>
      <c r="V185" s="2" t="e">
        <f t="shared" si="76"/>
        <v>#N/A</v>
      </c>
      <c r="X185" s="2" t="e">
        <f t="shared" si="77"/>
        <v>#N/A</v>
      </c>
      <c r="Y185" s="2" t="e">
        <f t="shared" si="78"/>
        <v>#N/A</v>
      </c>
      <c r="AA185" s="2" t="e">
        <f t="shared" si="79"/>
        <v>#N/A</v>
      </c>
      <c r="AB185" s="2" t="e">
        <f t="shared" si="80"/>
        <v>#N/A</v>
      </c>
      <c r="BB185" s="5"/>
      <c r="BC185" s="5"/>
      <c r="BD185" s="5"/>
      <c r="BE185" s="5"/>
      <c r="BF185" s="5"/>
      <c r="BG185" s="5"/>
      <c r="BH185" s="5"/>
    </row>
    <row r="186" spans="1:60" s="2" customFormat="1">
      <c r="A186" s="70">
        <v>300</v>
      </c>
      <c r="C186" s="2" t="e">
        <f t="shared" si="63"/>
        <v>#N/A</v>
      </c>
      <c r="D186" s="2" t="e">
        <f t="shared" si="64"/>
        <v>#N/A</v>
      </c>
      <c r="F186" s="2" t="e">
        <f t="shared" si="65"/>
        <v>#N/A</v>
      </c>
      <c r="G186" s="2" t="e">
        <f t="shared" si="66"/>
        <v>#N/A</v>
      </c>
      <c r="I186" s="2" t="e">
        <f t="shared" si="67"/>
        <v>#N/A</v>
      </c>
      <c r="J186" s="2" t="e">
        <f t="shared" si="68"/>
        <v>#N/A</v>
      </c>
      <c r="L186" s="2" t="e">
        <f t="shared" si="69"/>
        <v>#N/A</v>
      </c>
      <c r="M186" s="2" t="e">
        <f t="shared" si="70"/>
        <v>#N/A</v>
      </c>
      <c r="O186" s="2" t="e">
        <f t="shared" si="71"/>
        <v>#N/A</v>
      </c>
      <c r="P186" s="2" t="e">
        <f t="shared" si="72"/>
        <v>#N/A</v>
      </c>
      <c r="R186" s="2" t="e">
        <f t="shared" si="73"/>
        <v>#N/A</v>
      </c>
      <c r="S186" s="2" t="e">
        <f t="shared" si="74"/>
        <v>#N/A</v>
      </c>
      <c r="U186" s="2" t="e">
        <f t="shared" si="75"/>
        <v>#N/A</v>
      </c>
      <c r="V186" s="2" t="e">
        <f t="shared" si="76"/>
        <v>#N/A</v>
      </c>
      <c r="X186" s="2" t="e">
        <f t="shared" si="77"/>
        <v>#N/A</v>
      </c>
      <c r="Y186" s="2" t="e">
        <f t="shared" si="78"/>
        <v>#N/A</v>
      </c>
      <c r="AA186" s="2" t="e">
        <f t="shared" si="79"/>
        <v>#N/A</v>
      </c>
      <c r="AB186" s="2" t="e">
        <f t="shared" si="80"/>
        <v>#N/A</v>
      </c>
      <c r="BB186" s="5"/>
      <c r="BC186" s="5"/>
      <c r="BD186" s="5"/>
      <c r="BE186" s="5"/>
      <c r="BF186" s="5"/>
      <c r="BG186" s="5"/>
      <c r="BH186" s="5"/>
    </row>
    <row r="187" spans="1:60" s="2" customFormat="1">
      <c r="A187" s="70">
        <v>315</v>
      </c>
      <c r="C187" s="2" t="e">
        <f t="shared" si="63"/>
        <v>#N/A</v>
      </c>
      <c r="D187" s="2" t="e">
        <f t="shared" si="64"/>
        <v>#N/A</v>
      </c>
      <c r="F187" s="2" t="e">
        <f t="shared" si="65"/>
        <v>#N/A</v>
      </c>
      <c r="G187" s="2" t="e">
        <f t="shared" si="66"/>
        <v>#N/A</v>
      </c>
      <c r="I187" s="2" t="e">
        <f t="shared" si="67"/>
        <v>#N/A</v>
      </c>
      <c r="J187" s="2" t="e">
        <f t="shared" si="68"/>
        <v>#N/A</v>
      </c>
      <c r="L187" s="2" t="e">
        <f t="shared" si="69"/>
        <v>#N/A</v>
      </c>
      <c r="M187" s="2" t="e">
        <f t="shared" si="70"/>
        <v>#N/A</v>
      </c>
      <c r="O187" s="2" t="e">
        <f t="shared" si="71"/>
        <v>#N/A</v>
      </c>
      <c r="P187" s="2" t="e">
        <f t="shared" si="72"/>
        <v>#N/A</v>
      </c>
      <c r="R187" s="2" t="e">
        <f t="shared" si="73"/>
        <v>#N/A</v>
      </c>
      <c r="S187" s="2" t="e">
        <f t="shared" si="74"/>
        <v>#N/A</v>
      </c>
      <c r="U187" s="2" t="e">
        <f t="shared" si="75"/>
        <v>#N/A</v>
      </c>
      <c r="V187" s="2" t="e">
        <f t="shared" si="76"/>
        <v>#N/A</v>
      </c>
      <c r="X187" s="2" t="e">
        <f t="shared" si="77"/>
        <v>#N/A</v>
      </c>
      <c r="Y187" s="2" t="e">
        <f t="shared" si="78"/>
        <v>#N/A</v>
      </c>
      <c r="AA187" s="2" t="e">
        <f t="shared" si="79"/>
        <v>#N/A</v>
      </c>
      <c r="AB187" s="2" t="e">
        <f t="shared" si="80"/>
        <v>#N/A</v>
      </c>
      <c r="BB187" s="5"/>
      <c r="BC187" s="5"/>
      <c r="BD187" s="5"/>
      <c r="BE187" s="5"/>
      <c r="BF187" s="5"/>
      <c r="BG187" s="5"/>
      <c r="BH187" s="5"/>
    </row>
    <row r="188" spans="1:60" s="2" customFormat="1">
      <c r="A188" s="70">
        <v>330</v>
      </c>
      <c r="C188" s="2" t="e">
        <f t="shared" si="63"/>
        <v>#N/A</v>
      </c>
      <c r="D188" s="2" t="e">
        <f t="shared" si="64"/>
        <v>#N/A</v>
      </c>
      <c r="F188" s="2" t="e">
        <f t="shared" si="65"/>
        <v>#N/A</v>
      </c>
      <c r="G188" s="2" t="e">
        <f t="shared" si="66"/>
        <v>#N/A</v>
      </c>
      <c r="I188" s="2" t="e">
        <f t="shared" si="67"/>
        <v>#N/A</v>
      </c>
      <c r="J188" s="2" t="e">
        <f t="shared" si="68"/>
        <v>#N/A</v>
      </c>
      <c r="L188" s="2" t="e">
        <f t="shared" si="69"/>
        <v>#N/A</v>
      </c>
      <c r="M188" s="2" t="e">
        <f t="shared" si="70"/>
        <v>#N/A</v>
      </c>
      <c r="O188" s="2" t="e">
        <f t="shared" si="71"/>
        <v>#N/A</v>
      </c>
      <c r="P188" s="2" t="e">
        <f t="shared" si="72"/>
        <v>#N/A</v>
      </c>
      <c r="R188" s="2" t="e">
        <f t="shared" si="73"/>
        <v>#N/A</v>
      </c>
      <c r="S188" s="2" t="e">
        <f t="shared" si="74"/>
        <v>#N/A</v>
      </c>
      <c r="U188" s="2" t="e">
        <f t="shared" si="75"/>
        <v>#N/A</v>
      </c>
      <c r="V188" s="2" t="e">
        <f t="shared" si="76"/>
        <v>#N/A</v>
      </c>
      <c r="X188" s="2" t="e">
        <f t="shared" si="77"/>
        <v>#N/A</v>
      </c>
      <c r="Y188" s="2" t="e">
        <f t="shared" si="78"/>
        <v>#N/A</v>
      </c>
      <c r="AA188" s="2" t="e">
        <f t="shared" si="79"/>
        <v>#N/A</v>
      </c>
      <c r="AB188" s="2" t="e">
        <f t="shared" si="80"/>
        <v>#N/A</v>
      </c>
      <c r="BB188" s="5"/>
      <c r="BC188" s="5"/>
      <c r="BD188" s="5"/>
      <c r="BE188" s="5"/>
      <c r="BF188" s="5"/>
      <c r="BG188" s="5"/>
      <c r="BH188" s="5"/>
    </row>
    <row r="189" spans="1:60" s="2" customFormat="1">
      <c r="A189" s="70">
        <v>345</v>
      </c>
      <c r="C189" s="2" t="e">
        <f t="shared" si="63"/>
        <v>#N/A</v>
      </c>
      <c r="D189" s="2" t="e">
        <f t="shared" si="64"/>
        <v>#N/A</v>
      </c>
      <c r="F189" s="2" t="e">
        <f t="shared" si="65"/>
        <v>#N/A</v>
      </c>
      <c r="G189" s="2" t="e">
        <f t="shared" si="66"/>
        <v>#N/A</v>
      </c>
      <c r="I189" s="2" t="e">
        <f t="shared" si="67"/>
        <v>#N/A</v>
      </c>
      <c r="J189" s="2" t="e">
        <f t="shared" si="68"/>
        <v>#N/A</v>
      </c>
      <c r="L189" s="2" t="e">
        <f t="shared" si="69"/>
        <v>#N/A</v>
      </c>
      <c r="M189" s="2" t="e">
        <f t="shared" si="70"/>
        <v>#N/A</v>
      </c>
      <c r="O189" s="2" t="e">
        <f t="shared" si="71"/>
        <v>#N/A</v>
      </c>
      <c r="P189" s="2" t="e">
        <f t="shared" si="72"/>
        <v>#N/A</v>
      </c>
      <c r="R189" s="2" t="e">
        <f t="shared" si="73"/>
        <v>#N/A</v>
      </c>
      <c r="S189" s="2" t="e">
        <f t="shared" si="74"/>
        <v>#N/A</v>
      </c>
      <c r="U189" s="2" t="e">
        <f t="shared" si="75"/>
        <v>#N/A</v>
      </c>
      <c r="V189" s="2" t="e">
        <f t="shared" si="76"/>
        <v>#N/A</v>
      </c>
      <c r="X189" s="2" t="e">
        <f t="shared" si="77"/>
        <v>#N/A</v>
      </c>
      <c r="Y189" s="2" t="e">
        <f t="shared" si="78"/>
        <v>#N/A</v>
      </c>
      <c r="AA189" s="2" t="e">
        <f t="shared" si="79"/>
        <v>#N/A</v>
      </c>
      <c r="AB189" s="2" t="e">
        <f t="shared" si="80"/>
        <v>#N/A</v>
      </c>
      <c r="BB189" s="5"/>
      <c r="BC189" s="5"/>
      <c r="BD189" s="5"/>
      <c r="BE189" s="5"/>
      <c r="BF189" s="5"/>
      <c r="BG189" s="5"/>
      <c r="BH189" s="5"/>
    </row>
    <row r="190" spans="1:60" s="2" customFormat="1">
      <c r="A190" s="70">
        <v>360</v>
      </c>
      <c r="C190" s="2" t="e">
        <f t="shared" si="63"/>
        <v>#N/A</v>
      </c>
      <c r="D190" s="2" t="e">
        <f t="shared" si="64"/>
        <v>#N/A</v>
      </c>
      <c r="F190" s="2" t="e">
        <f t="shared" si="65"/>
        <v>#N/A</v>
      </c>
      <c r="G190" s="2" t="e">
        <f t="shared" si="66"/>
        <v>#N/A</v>
      </c>
      <c r="I190" s="2" t="e">
        <f t="shared" si="67"/>
        <v>#N/A</v>
      </c>
      <c r="J190" s="2" t="e">
        <f t="shared" si="68"/>
        <v>#N/A</v>
      </c>
      <c r="L190" s="2" t="e">
        <f t="shared" si="69"/>
        <v>#N/A</v>
      </c>
      <c r="M190" s="2" t="e">
        <f t="shared" si="70"/>
        <v>#N/A</v>
      </c>
      <c r="O190" s="2" t="e">
        <f t="shared" si="71"/>
        <v>#N/A</v>
      </c>
      <c r="P190" s="2" t="e">
        <f t="shared" si="72"/>
        <v>#N/A</v>
      </c>
      <c r="R190" s="2" t="e">
        <f t="shared" si="73"/>
        <v>#N/A</v>
      </c>
      <c r="S190" s="2" t="e">
        <f t="shared" si="74"/>
        <v>#N/A</v>
      </c>
      <c r="U190" s="2" t="e">
        <f t="shared" si="75"/>
        <v>#N/A</v>
      </c>
      <c r="V190" s="2" t="e">
        <f t="shared" si="76"/>
        <v>#N/A</v>
      </c>
      <c r="X190" s="2" t="e">
        <f t="shared" si="77"/>
        <v>#N/A</v>
      </c>
      <c r="Y190" s="2" t="e">
        <f t="shared" si="78"/>
        <v>#N/A</v>
      </c>
      <c r="AA190" s="2" t="e">
        <f t="shared" si="79"/>
        <v>#N/A</v>
      </c>
      <c r="AB190" s="2" t="e">
        <f t="shared" si="80"/>
        <v>#N/A</v>
      </c>
      <c r="BB190" s="5"/>
      <c r="BC190" s="5"/>
      <c r="BD190" s="5"/>
      <c r="BE190" s="5"/>
      <c r="BF190" s="5"/>
      <c r="BG190" s="5"/>
      <c r="BH190" s="5"/>
    </row>
    <row r="191" spans="1:60" s="2" customFormat="1">
      <c r="A191" s="70"/>
      <c r="BB191" s="5"/>
      <c r="BC191" s="5"/>
      <c r="BD191" s="5"/>
      <c r="BE191" s="5"/>
      <c r="BF191" s="5"/>
      <c r="BG191" s="5"/>
      <c r="BH191" s="5"/>
    </row>
    <row r="192" spans="1:60" s="2" customFormat="1">
      <c r="A192" s="70">
        <v>0</v>
      </c>
      <c r="B192" s="2">
        <v>4</v>
      </c>
      <c r="C192" s="2" t="e">
        <f t="shared" ref="C192:C216" si="81">IF(AND(AG$3,C$564&gt;0),E$17*COS($A192*PI()/180)+C$564,NA())</f>
        <v>#N/A</v>
      </c>
      <c r="D192" s="2" t="e">
        <f t="shared" ref="D192:D216" si="82">IF(AND(AG$3,C$564&gt;0),E$17*SIN($A192*PI()/180)+E$12,NA())</f>
        <v>#N/A</v>
      </c>
      <c r="F192" s="2" t="e">
        <f t="shared" ref="F192:F216" si="83">IF(AND(AH$3,F$564&gt;0),H$17*COS($A192*PI()/180)+F$564,NA())</f>
        <v>#N/A</v>
      </c>
      <c r="G192" s="2" t="e">
        <f t="shared" ref="G192:G216" si="84">IF(AND(AH$3,F$564&gt;0),H$17*SIN($A192*PI()/180)+H$12,NA())</f>
        <v>#N/A</v>
      </c>
      <c r="I192" s="2" t="e">
        <f t="shared" ref="I192:I216" si="85">IF(AND(AI$3,I$564&gt;0),K$17*COS($A192*PI()/180)+I$564,NA())</f>
        <v>#N/A</v>
      </c>
      <c r="J192" s="2" t="e">
        <f t="shared" ref="J192:J216" si="86">IF(AND(AI$3,I$564&gt;0),K$17*SIN($A192*PI()/180)+K$12,NA())</f>
        <v>#N/A</v>
      </c>
      <c r="L192" s="2" t="e">
        <f t="shared" ref="L192:L216" si="87">IF(AND(AJ$3,L$564&gt;0),N$17*COS($A192*PI()/180)+L$564,NA())</f>
        <v>#N/A</v>
      </c>
      <c r="M192" s="2" t="e">
        <f t="shared" ref="M192:M216" si="88">IF(AND(AJ$3,L$564&gt;0),N$17*SIN($A192*PI()/180)+N$12,NA())</f>
        <v>#N/A</v>
      </c>
      <c r="O192" s="2" t="e">
        <f t="shared" ref="O192:O216" si="89">IF(AND(AK$3,O$564&gt;0),Q$17*COS($A192*PI()/180)+O$564,NA())</f>
        <v>#N/A</v>
      </c>
      <c r="P192" s="2" t="e">
        <f t="shared" ref="P192:P216" si="90">IF(AND(AK$3,O$564&gt;0),Q$17*SIN($A192*PI()/180)+Q$12,NA())</f>
        <v>#N/A</v>
      </c>
      <c r="R192" s="2" t="e">
        <f t="shared" ref="R192:R216" si="91">IF(AND(AL$3,R$564&gt;0),T$17*COS($A192*PI()/180)+R$564,NA())</f>
        <v>#N/A</v>
      </c>
      <c r="S192" s="2" t="e">
        <f t="shared" ref="S192:S216" si="92">IF(AND(AL$3,R$564&gt;0),T$17*SIN($A192*PI()/180)+T$12,NA())</f>
        <v>#N/A</v>
      </c>
      <c r="U192" s="2" t="e">
        <f t="shared" ref="U192:U216" si="93">IF(AND(AM$3,U$564&gt;0),W$17*COS($A192*PI()/180)+U$564,NA())</f>
        <v>#N/A</v>
      </c>
      <c r="V192" s="2" t="e">
        <f t="shared" ref="V192:V216" si="94">IF(AND(AM$3,U$564&gt;0),W$17*SIN($A192*PI()/180)+W$12,NA())</f>
        <v>#N/A</v>
      </c>
      <c r="X192" s="2" t="e">
        <f t="shared" ref="X192:X216" si="95">IF(AND(AN$3,X$564&gt;0),Z$17*COS($A192*PI()/180)+X$564,NA())</f>
        <v>#N/A</v>
      </c>
      <c r="Y192" s="2" t="e">
        <f t="shared" ref="Y192:Y216" si="96">IF(AND(AN$3,X$564&gt;0),Z$17*SIN($A192*PI()/180)+Z$12,NA())</f>
        <v>#N/A</v>
      </c>
      <c r="AA192" s="2" t="e">
        <f t="shared" ref="AA192:AA216" si="97">IF(AND(AO$3,AA$564&gt;0),AC$17*COS($A192*PI()/180)+AA$564,NA())</f>
        <v>#N/A</v>
      </c>
      <c r="AB192" s="2" t="e">
        <f t="shared" ref="AB192:AB216" si="98">IF(AND(AO$3,AA$564&gt;0),AC$17*SIN($A192*PI()/180)+AC$12,NA())</f>
        <v>#N/A</v>
      </c>
      <c r="BB192" s="5"/>
      <c r="BC192" s="5"/>
      <c r="BD192" s="5"/>
      <c r="BE192" s="5"/>
      <c r="BF192" s="5"/>
      <c r="BG192" s="5"/>
      <c r="BH192" s="5"/>
    </row>
    <row r="193" spans="1:60" s="2" customFormat="1">
      <c r="A193" s="70">
        <v>15</v>
      </c>
      <c r="C193" s="2" t="e">
        <f t="shared" si="81"/>
        <v>#N/A</v>
      </c>
      <c r="D193" s="2" t="e">
        <f t="shared" si="82"/>
        <v>#N/A</v>
      </c>
      <c r="F193" s="2" t="e">
        <f t="shared" si="83"/>
        <v>#N/A</v>
      </c>
      <c r="G193" s="2" t="e">
        <f t="shared" si="84"/>
        <v>#N/A</v>
      </c>
      <c r="I193" s="2" t="e">
        <f t="shared" si="85"/>
        <v>#N/A</v>
      </c>
      <c r="J193" s="2" t="e">
        <f t="shared" si="86"/>
        <v>#N/A</v>
      </c>
      <c r="L193" s="2" t="e">
        <f t="shared" si="87"/>
        <v>#N/A</v>
      </c>
      <c r="M193" s="2" t="e">
        <f t="shared" si="88"/>
        <v>#N/A</v>
      </c>
      <c r="O193" s="2" t="e">
        <f t="shared" si="89"/>
        <v>#N/A</v>
      </c>
      <c r="P193" s="2" t="e">
        <f t="shared" si="90"/>
        <v>#N/A</v>
      </c>
      <c r="R193" s="2" t="e">
        <f t="shared" si="91"/>
        <v>#N/A</v>
      </c>
      <c r="S193" s="2" t="e">
        <f t="shared" si="92"/>
        <v>#N/A</v>
      </c>
      <c r="U193" s="2" t="e">
        <f t="shared" si="93"/>
        <v>#N/A</v>
      </c>
      <c r="V193" s="2" t="e">
        <f t="shared" si="94"/>
        <v>#N/A</v>
      </c>
      <c r="X193" s="2" t="e">
        <f t="shared" si="95"/>
        <v>#N/A</v>
      </c>
      <c r="Y193" s="2" t="e">
        <f t="shared" si="96"/>
        <v>#N/A</v>
      </c>
      <c r="AA193" s="2" t="e">
        <f t="shared" si="97"/>
        <v>#N/A</v>
      </c>
      <c r="AB193" s="2" t="e">
        <f t="shared" si="98"/>
        <v>#N/A</v>
      </c>
      <c r="BB193" s="5"/>
      <c r="BC193" s="5"/>
      <c r="BD193" s="5"/>
      <c r="BE193" s="5"/>
      <c r="BF193" s="5"/>
      <c r="BG193" s="5"/>
      <c r="BH193" s="5"/>
    </row>
    <row r="194" spans="1:60" s="2" customFormat="1">
      <c r="A194" s="70">
        <v>30</v>
      </c>
      <c r="C194" s="2" t="e">
        <f t="shared" si="81"/>
        <v>#N/A</v>
      </c>
      <c r="D194" s="2" t="e">
        <f t="shared" si="82"/>
        <v>#N/A</v>
      </c>
      <c r="F194" s="2" t="e">
        <f t="shared" si="83"/>
        <v>#N/A</v>
      </c>
      <c r="G194" s="2" t="e">
        <f t="shared" si="84"/>
        <v>#N/A</v>
      </c>
      <c r="I194" s="2" t="e">
        <f t="shared" si="85"/>
        <v>#N/A</v>
      </c>
      <c r="J194" s="2" t="e">
        <f t="shared" si="86"/>
        <v>#N/A</v>
      </c>
      <c r="L194" s="2" t="e">
        <f t="shared" si="87"/>
        <v>#N/A</v>
      </c>
      <c r="M194" s="2" t="e">
        <f t="shared" si="88"/>
        <v>#N/A</v>
      </c>
      <c r="O194" s="2" t="e">
        <f t="shared" si="89"/>
        <v>#N/A</v>
      </c>
      <c r="P194" s="2" t="e">
        <f t="shared" si="90"/>
        <v>#N/A</v>
      </c>
      <c r="R194" s="2" t="e">
        <f t="shared" si="91"/>
        <v>#N/A</v>
      </c>
      <c r="S194" s="2" t="e">
        <f t="shared" si="92"/>
        <v>#N/A</v>
      </c>
      <c r="U194" s="2" t="e">
        <f t="shared" si="93"/>
        <v>#N/A</v>
      </c>
      <c r="V194" s="2" t="e">
        <f t="shared" si="94"/>
        <v>#N/A</v>
      </c>
      <c r="X194" s="2" t="e">
        <f t="shared" si="95"/>
        <v>#N/A</v>
      </c>
      <c r="Y194" s="2" t="e">
        <f t="shared" si="96"/>
        <v>#N/A</v>
      </c>
      <c r="AA194" s="2" t="e">
        <f t="shared" si="97"/>
        <v>#N/A</v>
      </c>
      <c r="AB194" s="2" t="e">
        <f t="shared" si="98"/>
        <v>#N/A</v>
      </c>
      <c r="BB194" s="5"/>
      <c r="BC194" s="5"/>
      <c r="BD194" s="5"/>
      <c r="BE194" s="5"/>
      <c r="BF194" s="5"/>
      <c r="BG194" s="5"/>
      <c r="BH194" s="5"/>
    </row>
    <row r="195" spans="1:60" s="2" customFormat="1">
      <c r="A195" s="70">
        <v>45</v>
      </c>
      <c r="C195" s="2" t="e">
        <f t="shared" si="81"/>
        <v>#N/A</v>
      </c>
      <c r="D195" s="2" t="e">
        <f t="shared" si="82"/>
        <v>#N/A</v>
      </c>
      <c r="F195" s="2" t="e">
        <f t="shared" si="83"/>
        <v>#N/A</v>
      </c>
      <c r="G195" s="2" t="e">
        <f t="shared" si="84"/>
        <v>#N/A</v>
      </c>
      <c r="I195" s="2" t="e">
        <f t="shared" si="85"/>
        <v>#N/A</v>
      </c>
      <c r="J195" s="2" t="e">
        <f t="shared" si="86"/>
        <v>#N/A</v>
      </c>
      <c r="L195" s="2" t="e">
        <f t="shared" si="87"/>
        <v>#N/A</v>
      </c>
      <c r="M195" s="2" t="e">
        <f t="shared" si="88"/>
        <v>#N/A</v>
      </c>
      <c r="O195" s="2" t="e">
        <f t="shared" si="89"/>
        <v>#N/A</v>
      </c>
      <c r="P195" s="2" t="e">
        <f t="shared" si="90"/>
        <v>#N/A</v>
      </c>
      <c r="R195" s="2" t="e">
        <f t="shared" si="91"/>
        <v>#N/A</v>
      </c>
      <c r="S195" s="2" t="e">
        <f t="shared" si="92"/>
        <v>#N/A</v>
      </c>
      <c r="U195" s="2" t="e">
        <f t="shared" si="93"/>
        <v>#N/A</v>
      </c>
      <c r="V195" s="2" t="e">
        <f t="shared" si="94"/>
        <v>#N/A</v>
      </c>
      <c r="X195" s="2" t="e">
        <f t="shared" si="95"/>
        <v>#N/A</v>
      </c>
      <c r="Y195" s="2" t="e">
        <f t="shared" si="96"/>
        <v>#N/A</v>
      </c>
      <c r="AA195" s="2" t="e">
        <f t="shared" si="97"/>
        <v>#N/A</v>
      </c>
      <c r="AB195" s="2" t="e">
        <f t="shared" si="98"/>
        <v>#N/A</v>
      </c>
      <c r="BB195" s="5"/>
      <c r="BC195" s="5"/>
      <c r="BD195" s="5"/>
      <c r="BE195" s="5"/>
      <c r="BF195" s="5"/>
      <c r="BG195" s="5"/>
      <c r="BH195" s="5"/>
    </row>
    <row r="196" spans="1:60" s="2" customFormat="1">
      <c r="A196" s="70">
        <v>60</v>
      </c>
      <c r="C196" s="2" t="e">
        <f t="shared" si="81"/>
        <v>#N/A</v>
      </c>
      <c r="D196" s="2" t="e">
        <f t="shared" si="82"/>
        <v>#N/A</v>
      </c>
      <c r="F196" s="2" t="e">
        <f t="shared" si="83"/>
        <v>#N/A</v>
      </c>
      <c r="G196" s="2" t="e">
        <f t="shared" si="84"/>
        <v>#N/A</v>
      </c>
      <c r="I196" s="2" t="e">
        <f t="shared" si="85"/>
        <v>#N/A</v>
      </c>
      <c r="J196" s="2" t="e">
        <f t="shared" si="86"/>
        <v>#N/A</v>
      </c>
      <c r="L196" s="2" t="e">
        <f t="shared" si="87"/>
        <v>#N/A</v>
      </c>
      <c r="M196" s="2" t="e">
        <f t="shared" si="88"/>
        <v>#N/A</v>
      </c>
      <c r="O196" s="2" t="e">
        <f t="shared" si="89"/>
        <v>#N/A</v>
      </c>
      <c r="P196" s="2" t="e">
        <f t="shared" si="90"/>
        <v>#N/A</v>
      </c>
      <c r="R196" s="2" t="e">
        <f t="shared" si="91"/>
        <v>#N/A</v>
      </c>
      <c r="S196" s="2" t="e">
        <f t="shared" si="92"/>
        <v>#N/A</v>
      </c>
      <c r="U196" s="2" t="e">
        <f t="shared" si="93"/>
        <v>#N/A</v>
      </c>
      <c r="V196" s="2" t="e">
        <f t="shared" si="94"/>
        <v>#N/A</v>
      </c>
      <c r="X196" s="2" t="e">
        <f t="shared" si="95"/>
        <v>#N/A</v>
      </c>
      <c r="Y196" s="2" t="e">
        <f t="shared" si="96"/>
        <v>#N/A</v>
      </c>
      <c r="AA196" s="2" t="e">
        <f t="shared" si="97"/>
        <v>#N/A</v>
      </c>
      <c r="AB196" s="2" t="e">
        <f t="shared" si="98"/>
        <v>#N/A</v>
      </c>
      <c r="BB196" s="5"/>
      <c r="BC196" s="5"/>
      <c r="BD196" s="5"/>
      <c r="BE196" s="5"/>
      <c r="BF196" s="5"/>
      <c r="BG196" s="5"/>
      <c r="BH196" s="5"/>
    </row>
    <row r="197" spans="1:60" s="2" customFormat="1">
      <c r="A197" s="70">
        <v>75</v>
      </c>
      <c r="C197" s="2" t="e">
        <f t="shared" si="81"/>
        <v>#N/A</v>
      </c>
      <c r="D197" s="2" t="e">
        <f t="shared" si="82"/>
        <v>#N/A</v>
      </c>
      <c r="F197" s="2" t="e">
        <f t="shared" si="83"/>
        <v>#N/A</v>
      </c>
      <c r="G197" s="2" t="e">
        <f t="shared" si="84"/>
        <v>#N/A</v>
      </c>
      <c r="I197" s="2" t="e">
        <f t="shared" si="85"/>
        <v>#N/A</v>
      </c>
      <c r="J197" s="2" t="e">
        <f t="shared" si="86"/>
        <v>#N/A</v>
      </c>
      <c r="L197" s="2" t="e">
        <f t="shared" si="87"/>
        <v>#N/A</v>
      </c>
      <c r="M197" s="2" t="e">
        <f t="shared" si="88"/>
        <v>#N/A</v>
      </c>
      <c r="O197" s="2" t="e">
        <f t="shared" si="89"/>
        <v>#N/A</v>
      </c>
      <c r="P197" s="2" t="e">
        <f t="shared" si="90"/>
        <v>#N/A</v>
      </c>
      <c r="R197" s="2" t="e">
        <f t="shared" si="91"/>
        <v>#N/A</v>
      </c>
      <c r="S197" s="2" t="e">
        <f t="shared" si="92"/>
        <v>#N/A</v>
      </c>
      <c r="U197" s="2" t="e">
        <f t="shared" si="93"/>
        <v>#N/A</v>
      </c>
      <c r="V197" s="2" t="e">
        <f t="shared" si="94"/>
        <v>#N/A</v>
      </c>
      <c r="X197" s="2" t="e">
        <f t="shared" si="95"/>
        <v>#N/A</v>
      </c>
      <c r="Y197" s="2" t="e">
        <f t="shared" si="96"/>
        <v>#N/A</v>
      </c>
      <c r="AA197" s="2" t="e">
        <f t="shared" si="97"/>
        <v>#N/A</v>
      </c>
      <c r="AB197" s="2" t="e">
        <f t="shared" si="98"/>
        <v>#N/A</v>
      </c>
      <c r="BB197" s="5"/>
      <c r="BC197" s="5"/>
      <c r="BD197" s="5"/>
      <c r="BE197" s="5"/>
      <c r="BF197" s="5"/>
      <c r="BG197" s="5"/>
      <c r="BH197" s="5"/>
    </row>
    <row r="198" spans="1:60" s="2" customFormat="1">
      <c r="A198" s="70">
        <v>90</v>
      </c>
      <c r="C198" s="2" t="e">
        <f t="shared" si="81"/>
        <v>#N/A</v>
      </c>
      <c r="D198" s="2" t="e">
        <f t="shared" si="82"/>
        <v>#N/A</v>
      </c>
      <c r="F198" s="2" t="e">
        <f t="shared" si="83"/>
        <v>#N/A</v>
      </c>
      <c r="G198" s="2" t="e">
        <f t="shared" si="84"/>
        <v>#N/A</v>
      </c>
      <c r="I198" s="2" t="e">
        <f t="shared" si="85"/>
        <v>#N/A</v>
      </c>
      <c r="J198" s="2" t="e">
        <f t="shared" si="86"/>
        <v>#N/A</v>
      </c>
      <c r="L198" s="2" t="e">
        <f t="shared" si="87"/>
        <v>#N/A</v>
      </c>
      <c r="M198" s="2" t="e">
        <f t="shared" si="88"/>
        <v>#N/A</v>
      </c>
      <c r="O198" s="2" t="e">
        <f t="shared" si="89"/>
        <v>#N/A</v>
      </c>
      <c r="P198" s="2" t="e">
        <f t="shared" si="90"/>
        <v>#N/A</v>
      </c>
      <c r="R198" s="2" t="e">
        <f t="shared" si="91"/>
        <v>#N/A</v>
      </c>
      <c r="S198" s="2" t="e">
        <f t="shared" si="92"/>
        <v>#N/A</v>
      </c>
      <c r="U198" s="2" t="e">
        <f t="shared" si="93"/>
        <v>#N/A</v>
      </c>
      <c r="V198" s="2" t="e">
        <f t="shared" si="94"/>
        <v>#N/A</v>
      </c>
      <c r="X198" s="2" t="e">
        <f t="shared" si="95"/>
        <v>#N/A</v>
      </c>
      <c r="Y198" s="2" t="e">
        <f t="shared" si="96"/>
        <v>#N/A</v>
      </c>
      <c r="AA198" s="2" t="e">
        <f t="shared" si="97"/>
        <v>#N/A</v>
      </c>
      <c r="AB198" s="2" t="e">
        <f t="shared" si="98"/>
        <v>#N/A</v>
      </c>
      <c r="BB198" s="5"/>
      <c r="BC198" s="5"/>
      <c r="BD198" s="5"/>
      <c r="BE198" s="5"/>
      <c r="BF198" s="5"/>
      <c r="BG198" s="5"/>
      <c r="BH198" s="5"/>
    </row>
    <row r="199" spans="1:60" s="2" customFormat="1">
      <c r="A199" s="70">
        <v>105</v>
      </c>
      <c r="C199" s="2" t="e">
        <f t="shared" si="81"/>
        <v>#N/A</v>
      </c>
      <c r="D199" s="2" t="e">
        <f t="shared" si="82"/>
        <v>#N/A</v>
      </c>
      <c r="F199" s="2" t="e">
        <f t="shared" si="83"/>
        <v>#N/A</v>
      </c>
      <c r="G199" s="2" t="e">
        <f t="shared" si="84"/>
        <v>#N/A</v>
      </c>
      <c r="I199" s="2" t="e">
        <f t="shared" si="85"/>
        <v>#N/A</v>
      </c>
      <c r="J199" s="2" t="e">
        <f t="shared" si="86"/>
        <v>#N/A</v>
      </c>
      <c r="L199" s="2" t="e">
        <f t="shared" si="87"/>
        <v>#N/A</v>
      </c>
      <c r="M199" s="2" t="e">
        <f t="shared" si="88"/>
        <v>#N/A</v>
      </c>
      <c r="O199" s="2" t="e">
        <f t="shared" si="89"/>
        <v>#N/A</v>
      </c>
      <c r="P199" s="2" t="e">
        <f t="shared" si="90"/>
        <v>#N/A</v>
      </c>
      <c r="R199" s="2" t="e">
        <f t="shared" si="91"/>
        <v>#N/A</v>
      </c>
      <c r="S199" s="2" t="e">
        <f t="shared" si="92"/>
        <v>#N/A</v>
      </c>
      <c r="U199" s="2" t="e">
        <f t="shared" si="93"/>
        <v>#N/A</v>
      </c>
      <c r="V199" s="2" t="e">
        <f t="shared" si="94"/>
        <v>#N/A</v>
      </c>
      <c r="X199" s="2" t="e">
        <f t="shared" si="95"/>
        <v>#N/A</v>
      </c>
      <c r="Y199" s="2" t="e">
        <f t="shared" si="96"/>
        <v>#N/A</v>
      </c>
      <c r="AA199" s="2" t="e">
        <f t="shared" si="97"/>
        <v>#N/A</v>
      </c>
      <c r="AB199" s="2" t="e">
        <f t="shared" si="98"/>
        <v>#N/A</v>
      </c>
      <c r="BB199" s="5"/>
      <c r="BC199" s="5"/>
      <c r="BD199" s="5"/>
      <c r="BE199" s="5"/>
      <c r="BF199" s="5"/>
      <c r="BG199" s="5"/>
      <c r="BH199" s="5"/>
    </row>
    <row r="200" spans="1:60" s="2" customFormat="1">
      <c r="A200" s="70">
        <v>120</v>
      </c>
      <c r="C200" s="2" t="e">
        <f t="shared" si="81"/>
        <v>#N/A</v>
      </c>
      <c r="D200" s="2" t="e">
        <f t="shared" si="82"/>
        <v>#N/A</v>
      </c>
      <c r="F200" s="2" t="e">
        <f t="shared" si="83"/>
        <v>#N/A</v>
      </c>
      <c r="G200" s="2" t="e">
        <f t="shared" si="84"/>
        <v>#N/A</v>
      </c>
      <c r="I200" s="2" t="e">
        <f t="shared" si="85"/>
        <v>#N/A</v>
      </c>
      <c r="J200" s="2" t="e">
        <f t="shared" si="86"/>
        <v>#N/A</v>
      </c>
      <c r="L200" s="2" t="e">
        <f t="shared" si="87"/>
        <v>#N/A</v>
      </c>
      <c r="M200" s="2" t="e">
        <f t="shared" si="88"/>
        <v>#N/A</v>
      </c>
      <c r="O200" s="2" t="e">
        <f t="shared" si="89"/>
        <v>#N/A</v>
      </c>
      <c r="P200" s="2" t="e">
        <f t="shared" si="90"/>
        <v>#N/A</v>
      </c>
      <c r="R200" s="2" t="e">
        <f t="shared" si="91"/>
        <v>#N/A</v>
      </c>
      <c r="S200" s="2" t="e">
        <f t="shared" si="92"/>
        <v>#N/A</v>
      </c>
      <c r="U200" s="2" t="e">
        <f t="shared" si="93"/>
        <v>#N/A</v>
      </c>
      <c r="V200" s="2" t="e">
        <f t="shared" si="94"/>
        <v>#N/A</v>
      </c>
      <c r="X200" s="2" t="e">
        <f t="shared" si="95"/>
        <v>#N/A</v>
      </c>
      <c r="Y200" s="2" t="e">
        <f t="shared" si="96"/>
        <v>#N/A</v>
      </c>
      <c r="AA200" s="2" t="e">
        <f t="shared" si="97"/>
        <v>#N/A</v>
      </c>
      <c r="AB200" s="2" t="e">
        <f t="shared" si="98"/>
        <v>#N/A</v>
      </c>
      <c r="BB200" s="5"/>
      <c r="BC200" s="5"/>
      <c r="BD200" s="5"/>
      <c r="BE200" s="5"/>
      <c r="BF200" s="5"/>
      <c r="BG200" s="5"/>
      <c r="BH200" s="5"/>
    </row>
    <row r="201" spans="1:60" s="2" customFormat="1">
      <c r="A201" s="70">
        <v>135</v>
      </c>
      <c r="C201" s="2" t="e">
        <f t="shared" si="81"/>
        <v>#N/A</v>
      </c>
      <c r="D201" s="2" t="e">
        <f t="shared" si="82"/>
        <v>#N/A</v>
      </c>
      <c r="F201" s="2" t="e">
        <f t="shared" si="83"/>
        <v>#N/A</v>
      </c>
      <c r="G201" s="2" t="e">
        <f t="shared" si="84"/>
        <v>#N/A</v>
      </c>
      <c r="I201" s="2" t="e">
        <f t="shared" si="85"/>
        <v>#N/A</v>
      </c>
      <c r="J201" s="2" t="e">
        <f t="shared" si="86"/>
        <v>#N/A</v>
      </c>
      <c r="L201" s="2" t="e">
        <f t="shared" si="87"/>
        <v>#N/A</v>
      </c>
      <c r="M201" s="2" t="e">
        <f t="shared" si="88"/>
        <v>#N/A</v>
      </c>
      <c r="O201" s="2" t="e">
        <f t="shared" si="89"/>
        <v>#N/A</v>
      </c>
      <c r="P201" s="2" t="e">
        <f t="shared" si="90"/>
        <v>#N/A</v>
      </c>
      <c r="R201" s="2" t="e">
        <f t="shared" si="91"/>
        <v>#N/A</v>
      </c>
      <c r="S201" s="2" t="e">
        <f t="shared" si="92"/>
        <v>#N/A</v>
      </c>
      <c r="U201" s="2" t="e">
        <f t="shared" si="93"/>
        <v>#N/A</v>
      </c>
      <c r="V201" s="2" t="e">
        <f t="shared" si="94"/>
        <v>#N/A</v>
      </c>
      <c r="X201" s="2" t="e">
        <f t="shared" si="95"/>
        <v>#N/A</v>
      </c>
      <c r="Y201" s="2" t="e">
        <f t="shared" si="96"/>
        <v>#N/A</v>
      </c>
      <c r="AA201" s="2" t="e">
        <f t="shared" si="97"/>
        <v>#N/A</v>
      </c>
      <c r="AB201" s="2" t="e">
        <f t="shared" si="98"/>
        <v>#N/A</v>
      </c>
      <c r="BB201" s="5"/>
      <c r="BC201" s="5"/>
      <c r="BD201" s="5"/>
      <c r="BE201" s="5"/>
      <c r="BF201" s="5"/>
      <c r="BG201" s="5"/>
      <c r="BH201" s="5"/>
    </row>
    <row r="202" spans="1:60" s="2" customFormat="1">
      <c r="A202" s="70">
        <v>150</v>
      </c>
      <c r="C202" s="2" t="e">
        <f t="shared" si="81"/>
        <v>#N/A</v>
      </c>
      <c r="D202" s="2" t="e">
        <f t="shared" si="82"/>
        <v>#N/A</v>
      </c>
      <c r="F202" s="2" t="e">
        <f t="shared" si="83"/>
        <v>#N/A</v>
      </c>
      <c r="G202" s="2" t="e">
        <f t="shared" si="84"/>
        <v>#N/A</v>
      </c>
      <c r="I202" s="2" t="e">
        <f t="shared" si="85"/>
        <v>#N/A</v>
      </c>
      <c r="J202" s="2" t="e">
        <f t="shared" si="86"/>
        <v>#N/A</v>
      </c>
      <c r="L202" s="2" t="e">
        <f t="shared" si="87"/>
        <v>#N/A</v>
      </c>
      <c r="M202" s="2" t="e">
        <f t="shared" si="88"/>
        <v>#N/A</v>
      </c>
      <c r="O202" s="2" t="e">
        <f t="shared" si="89"/>
        <v>#N/A</v>
      </c>
      <c r="P202" s="2" t="e">
        <f t="shared" si="90"/>
        <v>#N/A</v>
      </c>
      <c r="R202" s="2" t="e">
        <f t="shared" si="91"/>
        <v>#N/A</v>
      </c>
      <c r="S202" s="2" t="e">
        <f t="shared" si="92"/>
        <v>#N/A</v>
      </c>
      <c r="U202" s="2" t="e">
        <f t="shared" si="93"/>
        <v>#N/A</v>
      </c>
      <c r="V202" s="2" t="e">
        <f t="shared" si="94"/>
        <v>#N/A</v>
      </c>
      <c r="X202" s="2" t="e">
        <f t="shared" si="95"/>
        <v>#N/A</v>
      </c>
      <c r="Y202" s="2" t="e">
        <f t="shared" si="96"/>
        <v>#N/A</v>
      </c>
      <c r="AA202" s="2" t="e">
        <f t="shared" si="97"/>
        <v>#N/A</v>
      </c>
      <c r="AB202" s="2" t="e">
        <f t="shared" si="98"/>
        <v>#N/A</v>
      </c>
      <c r="BB202" s="5"/>
      <c r="BC202" s="5"/>
      <c r="BD202" s="5"/>
      <c r="BE202" s="5"/>
      <c r="BF202" s="5"/>
      <c r="BG202" s="5"/>
      <c r="BH202" s="5"/>
    </row>
    <row r="203" spans="1:60" s="2" customFormat="1">
      <c r="A203" s="70">
        <v>165</v>
      </c>
      <c r="C203" s="2" t="e">
        <f t="shared" si="81"/>
        <v>#N/A</v>
      </c>
      <c r="D203" s="2" t="e">
        <f t="shared" si="82"/>
        <v>#N/A</v>
      </c>
      <c r="F203" s="2" t="e">
        <f t="shared" si="83"/>
        <v>#N/A</v>
      </c>
      <c r="G203" s="2" t="e">
        <f t="shared" si="84"/>
        <v>#N/A</v>
      </c>
      <c r="I203" s="2" t="e">
        <f t="shared" si="85"/>
        <v>#N/A</v>
      </c>
      <c r="J203" s="2" t="e">
        <f t="shared" si="86"/>
        <v>#N/A</v>
      </c>
      <c r="L203" s="2" t="e">
        <f t="shared" si="87"/>
        <v>#N/A</v>
      </c>
      <c r="M203" s="2" t="e">
        <f t="shared" si="88"/>
        <v>#N/A</v>
      </c>
      <c r="O203" s="2" t="e">
        <f t="shared" si="89"/>
        <v>#N/A</v>
      </c>
      <c r="P203" s="2" t="e">
        <f t="shared" si="90"/>
        <v>#N/A</v>
      </c>
      <c r="R203" s="2" t="e">
        <f t="shared" si="91"/>
        <v>#N/A</v>
      </c>
      <c r="S203" s="2" t="e">
        <f t="shared" si="92"/>
        <v>#N/A</v>
      </c>
      <c r="U203" s="2" t="e">
        <f t="shared" si="93"/>
        <v>#N/A</v>
      </c>
      <c r="V203" s="2" t="e">
        <f t="shared" si="94"/>
        <v>#N/A</v>
      </c>
      <c r="X203" s="2" t="e">
        <f t="shared" si="95"/>
        <v>#N/A</v>
      </c>
      <c r="Y203" s="2" t="e">
        <f t="shared" si="96"/>
        <v>#N/A</v>
      </c>
      <c r="AA203" s="2" t="e">
        <f t="shared" si="97"/>
        <v>#N/A</v>
      </c>
      <c r="AB203" s="2" t="e">
        <f t="shared" si="98"/>
        <v>#N/A</v>
      </c>
      <c r="BB203" s="5"/>
      <c r="BC203" s="5"/>
      <c r="BD203" s="5"/>
      <c r="BE203" s="5"/>
      <c r="BF203" s="5"/>
      <c r="BG203" s="5"/>
      <c r="BH203" s="5"/>
    </row>
    <row r="204" spans="1:60" s="2" customFormat="1">
      <c r="A204" s="70">
        <v>180</v>
      </c>
      <c r="C204" s="2" t="e">
        <f t="shared" si="81"/>
        <v>#N/A</v>
      </c>
      <c r="D204" s="2" t="e">
        <f t="shared" si="82"/>
        <v>#N/A</v>
      </c>
      <c r="F204" s="2" t="e">
        <f t="shared" si="83"/>
        <v>#N/A</v>
      </c>
      <c r="G204" s="2" t="e">
        <f t="shared" si="84"/>
        <v>#N/A</v>
      </c>
      <c r="I204" s="2" t="e">
        <f t="shared" si="85"/>
        <v>#N/A</v>
      </c>
      <c r="J204" s="2" t="e">
        <f t="shared" si="86"/>
        <v>#N/A</v>
      </c>
      <c r="L204" s="2" t="e">
        <f t="shared" si="87"/>
        <v>#N/A</v>
      </c>
      <c r="M204" s="2" t="e">
        <f t="shared" si="88"/>
        <v>#N/A</v>
      </c>
      <c r="O204" s="2" t="e">
        <f t="shared" si="89"/>
        <v>#N/A</v>
      </c>
      <c r="P204" s="2" t="e">
        <f t="shared" si="90"/>
        <v>#N/A</v>
      </c>
      <c r="R204" s="2" t="e">
        <f t="shared" si="91"/>
        <v>#N/A</v>
      </c>
      <c r="S204" s="2" t="e">
        <f t="shared" si="92"/>
        <v>#N/A</v>
      </c>
      <c r="U204" s="2" t="e">
        <f t="shared" si="93"/>
        <v>#N/A</v>
      </c>
      <c r="V204" s="2" t="e">
        <f t="shared" si="94"/>
        <v>#N/A</v>
      </c>
      <c r="X204" s="2" t="e">
        <f t="shared" si="95"/>
        <v>#N/A</v>
      </c>
      <c r="Y204" s="2" t="e">
        <f t="shared" si="96"/>
        <v>#N/A</v>
      </c>
      <c r="AA204" s="2" t="e">
        <f t="shared" si="97"/>
        <v>#N/A</v>
      </c>
      <c r="AB204" s="2" t="e">
        <f t="shared" si="98"/>
        <v>#N/A</v>
      </c>
      <c r="BB204" s="5"/>
      <c r="BC204" s="5"/>
      <c r="BD204" s="5"/>
      <c r="BE204" s="5"/>
      <c r="BF204" s="5"/>
      <c r="BG204" s="5"/>
      <c r="BH204" s="5"/>
    </row>
    <row r="205" spans="1:60" s="2" customFormat="1">
      <c r="A205" s="70">
        <v>195</v>
      </c>
      <c r="C205" s="2" t="e">
        <f t="shared" si="81"/>
        <v>#N/A</v>
      </c>
      <c r="D205" s="2" t="e">
        <f t="shared" si="82"/>
        <v>#N/A</v>
      </c>
      <c r="F205" s="2" t="e">
        <f t="shared" si="83"/>
        <v>#N/A</v>
      </c>
      <c r="G205" s="2" t="e">
        <f t="shared" si="84"/>
        <v>#N/A</v>
      </c>
      <c r="I205" s="2" t="e">
        <f t="shared" si="85"/>
        <v>#N/A</v>
      </c>
      <c r="J205" s="2" t="e">
        <f t="shared" si="86"/>
        <v>#N/A</v>
      </c>
      <c r="L205" s="2" t="e">
        <f t="shared" si="87"/>
        <v>#N/A</v>
      </c>
      <c r="M205" s="2" t="e">
        <f t="shared" si="88"/>
        <v>#N/A</v>
      </c>
      <c r="O205" s="2" t="e">
        <f t="shared" si="89"/>
        <v>#N/A</v>
      </c>
      <c r="P205" s="2" t="e">
        <f t="shared" si="90"/>
        <v>#N/A</v>
      </c>
      <c r="R205" s="2" t="e">
        <f t="shared" si="91"/>
        <v>#N/A</v>
      </c>
      <c r="S205" s="2" t="e">
        <f t="shared" si="92"/>
        <v>#N/A</v>
      </c>
      <c r="U205" s="2" t="e">
        <f t="shared" si="93"/>
        <v>#N/A</v>
      </c>
      <c r="V205" s="2" t="e">
        <f t="shared" si="94"/>
        <v>#N/A</v>
      </c>
      <c r="X205" s="2" t="e">
        <f t="shared" si="95"/>
        <v>#N/A</v>
      </c>
      <c r="Y205" s="2" t="e">
        <f t="shared" si="96"/>
        <v>#N/A</v>
      </c>
      <c r="AA205" s="2" t="e">
        <f t="shared" si="97"/>
        <v>#N/A</v>
      </c>
      <c r="AB205" s="2" t="e">
        <f t="shared" si="98"/>
        <v>#N/A</v>
      </c>
      <c r="BB205" s="5"/>
      <c r="BC205" s="5"/>
      <c r="BD205" s="5"/>
      <c r="BE205" s="5"/>
      <c r="BF205" s="5"/>
      <c r="BG205" s="5"/>
      <c r="BH205" s="5"/>
    </row>
    <row r="206" spans="1:60" s="2" customFormat="1">
      <c r="A206" s="70">
        <v>210</v>
      </c>
      <c r="C206" s="2" t="e">
        <f t="shared" si="81"/>
        <v>#N/A</v>
      </c>
      <c r="D206" s="2" t="e">
        <f t="shared" si="82"/>
        <v>#N/A</v>
      </c>
      <c r="F206" s="2" t="e">
        <f t="shared" si="83"/>
        <v>#N/A</v>
      </c>
      <c r="G206" s="2" t="e">
        <f t="shared" si="84"/>
        <v>#N/A</v>
      </c>
      <c r="I206" s="2" t="e">
        <f t="shared" si="85"/>
        <v>#N/A</v>
      </c>
      <c r="J206" s="2" t="e">
        <f t="shared" si="86"/>
        <v>#N/A</v>
      </c>
      <c r="L206" s="2" t="e">
        <f t="shared" si="87"/>
        <v>#N/A</v>
      </c>
      <c r="M206" s="2" t="e">
        <f t="shared" si="88"/>
        <v>#N/A</v>
      </c>
      <c r="O206" s="2" t="e">
        <f t="shared" si="89"/>
        <v>#N/A</v>
      </c>
      <c r="P206" s="2" t="e">
        <f t="shared" si="90"/>
        <v>#N/A</v>
      </c>
      <c r="R206" s="2" t="e">
        <f t="shared" si="91"/>
        <v>#N/A</v>
      </c>
      <c r="S206" s="2" t="e">
        <f t="shared" si="92"/>
        <v>#N/A</v>
      </c>
      <c r="U206" s="2" t="e">
        <f t="shared" si="93"/>
        <v>#N/A</v>
      </c>
      <c r="V206" s="2" t="e">
        <f t="shared" si="94"/>
        <v>#N/A</v>
      </c>
      <c r="X206" s="2" t="e">
        <f t="shared" si="95"/>
        <v>#N/A</v>
      </c>
      <c r="Y206" s="2" t="e">
        <f t="shared" si="96"/>
        <v>#N/A</v>
      </c>
      <c r="AA206" s="2" t="e">
        <f t="shared" si="97"/>
        <v>#N/A</v>
      </c>
      <c r="AB206" s="2" t="e">
        <f t="shared" si="98"/>
        <v>#N/A</v>
      </c>
      <c r="BB206" s="5"/>
      <c r="BC206" s="5"/>
      <c r="BD206" s="5"/>
      <c r="BE206" s="5"/>
      <c r="BF206" s="5"/>
      <c r="BG206" s="5"/>
      <c r="BH206" s="5"/>
    </row>
    <row r="207" spans="1:60" s="2" customFormat="1">
      <c r="A207" s="70">
        <v>225</v>
      </c>
      <c r="C207" s="2" t="e">
        <f t="shared" si="81"/>
        <v>#N/A</v>
      </c>
      <c r="D207" s="2" t="e">
        <f t="shared" si="82"/>
        <v>#N/A</v>
      </c>
      <c r="F207" s="2" t="e">
        <f t="shared" si="83"/>
        <v>#N/A</v>
      </c>
      <c r="G207" s="2" t="e">
        <f t="shared" si="84"/>
        <v>#N/A</v>
      </c>
      <c r="I207" s="2" t="e">
        <f t="shared" si="85"/>
        <v>#N/A</v>
      </c>
      <c r="J207" s="2" t="e">
        <f t="shared" si="86"/>
        <v>#N/A</v>
      </c>
      <c r="L207" s="2" t="e">
        <f t="shared" si="87"/>
        <v>#N/A</v>
      </c>
      <c r="M207" s="2" t="e">
        <f t="shared" si="88"/>
        <v>#N/A</v>
      </c>
      <c r="O207" s="2" t="e">
        <f t="shared" si="89"/>
        <v>#N/A</v>
      </c>
      <c r="P207" s="2" t="e">
        <f t="shared" si="90"/>
        <v>#N/A</v>
      </c>
      <c r="R207" s="2" t="e">
        <f t="shared" si="91"/>
        <v>#N/A</v>
      </c>
      <c r="S207" s="2" t="e">
        <f t="shared" si="92"/>
        <v>#N/A</v>
      </c>
      <c r="U207" s="2" t="e">
        <f t="shared" si="93"/>
        <v>#N/A</v>
      </c>
      <c r="V207" s="2" t="e">
        <f t="shared" si="94"/>
        <v>#N/A</v>
      </c>
      <c r="X207" s="2" t="e">
        <f t="shared" si="95"/>
        <v>#N/A</v>
      </c>
      <c r="Y207" s="2" t="e">
        <f t="shared" si="96"/>
        <v>#N/A</v>
      </c>
      <c r="AA207" s="2" t="e">
        <f t="shared" si="97"/>
        <v>#N/A</v>
      </c>
      <c r="AB207" s="2" t="e">
        <f t="shared" si="98"/>
        <v>#N/A</v>
      </c>
      <c r="BB207" s="5"/>
      <c r="BC207" s="5"/>
      <c r="BD207" s="5"/>
      <c r="BE207" s="5"/>
      <c r="BF207" s="5"/>
      <c r="BG207" s="5"/>
      <c r="BH207" s="5"/>
    </row>
    <row r="208" spans="1:60" s="2" customFormat="1">
      <c r="A208" s="70">
        <v>240</v>
      </c>
      <c r="C208" s="2" t="e">
        <f t="shared" si="81"/>
        <v>#N/A</v>
      </c>
      <c r="D208" s="2" t="e">
        <f t="shared" si="82"/>
        <v>#N/A</v>
      </c>
      <c r="F208" s="2" t="e">
        <f t="shared" si="83"/>
        <v>#N/A</v>
      </c>
      <c r="G208" s="2" t="e">
        <f t="shared" si="84"/>
        <v>#N/A</v>
      </c>
      <c r="I208" s="2" t="e">
        <f t="shared" si="85"/>
        <v>#N/A</v>
      </c>
      <c r="J208" s="2" t="e">
        <f t="shared" si="86"/>
        <v>#N/A</v>
      </c>
      <c r="L208" s="2" t="e">
        <f t="shared" si="87"/>
        <v>#N/A</v>
      </c>
      <c r="M208" s="2" t="e">
        <f t="shared" si="88"/>
        <v>#N/A</v>
      </c>
      <c r="O208" s="2" t="e">
        <f t="shared" si="89"/>
        <v>#N/A</v>
      </c>
      <c r="P208" s="2" t="e">
        <f t="shared" si="90"/>
        <v>#N/A</v>
      </c>
      <c r="R208" s="2" t="e">
        <f t="shared" si="91"/>
        <v>#N/A</v>
      </c>
      <c r="S208" s="2" t="e">
        <f t="shared" si="92"/>
        <v>#N/A</v>
      </c>
      <c r="U208" s="2" t="e">
        <f t="shared" si="93"/>
        <v>#N/A</v>
      </c>
      <c r="V208" s="2" t="e">
        <f t="shared" si="94"/>
        <v>#N/A</v>
      </c>
      <c r="X208" s="2" t="e">
        <f t="shared" si="95"/>
        <v>#N/A</v>
      </c>
      <c r="Y208" s="2" t="e">
        <f t="shared" si="96"/>
        <v>#N/A</v>
      </c>
      <c r="AA208" s="2" t="e">
        <f t="shared" si="97"/>
        <v>#N/A</v>
      </c>
      <c r="AB208" s="2" t="e">
        <f t="shared" si="98"/>
        <v>#N/A</v>
      </c>
      <c r="BB208" s="5"/>
      <c r="BC208" s="5"/>
      <c r="BD208" s="5"/>
      <c r="BE208" s="5"/>
      <c r="BF208" s="5"/>
      <c r="BG208" s="5"/>
      <c r="BH208" s="5"/>
    </row>
    <row r="209" spans="1:60" s="2" customFormat="1">
      <c r="A209" s="70">
        <v>255</v>
      </c>
      <c r="C209" s="2" t="e">
        <f t="shared" si="81"/>
        <v>#N/A</v>
      </c>
      <c r="D209" s="2" t="e">
        <f t="shared" si="82"/>
        <v>#N/A</v>
      </c>
      <c r="F209" s="2" t="e">
        <f t="shared" si="83"/>
        <v>#N/A</v>
      </c>
      <c r="G209" s="2" t="e">
        <f t="shared" si="84"/>
        <v>#N/A</v>
      </c>
      <c r="I209" s="2" t="e">
        <f t="shared" si="85"/>
        <v>#N/A</v>
      </c>
      <c r="J209" s="2" t="e">
        <f t="shared" si="86"/>
        <v>#N/A</v>
      </c>
      <c r="L209" s="2" t="e">
        <f t="shared" si="87"/>
        <v>#N/A</v>
      </c>
      <c r="M209" s="2" t="e">
        <f t="shared" si="88"/>
        <v>#N/A</v>
      </c>
      <c r="O209" s="2" t="e">
        <f t="shared" si="89"/>
        <v>#N/A</v>
      </c>
      <c r="P209" s="2" t="e">
        <f t="shared" si="90"/>
        <v>#N/A</v>
      </c>
      <c r="R209" s="2" t="e">
        <f t="shared" si="91"/>
        <v>#N/A</v>
      </c>
      <c r="S209" s="2" t="e">
        <f t="shared" si="92"/>
        <v>#N/A</v>
      </c>
      <c r="U209" s="2" t="e">
        <f t="shared" si="93"/>
        <v>#N/A</v>
      </c>
      <c r="V209" s="2" t="e">
        <f t="shared" si="94"/>
        <v>#N/A</v>
      </c>
      <c r="X209" s="2" t="e">
        <f t="shared" si="95"/>
        <v>#N/A</v>
      </c>
      <c r="Y209" s="2" t="e">
        <f t="shared" si="96"/>
        <v>#N/A</v>
      </c>
      <c r="AA209" s="2" t="e">
        <f t="shared" si="97"/>
        <v>#N/A</v>
      </c>
      <c r="AB209" s="2" t="e">
        <f t="shared" si="98"/>
        <v>#N/A</v>
      </c>
      <c r="BB209" s="5"/>
      <c r="BC209" s="5"/>
      <c r="BD209" s="5"/>
      <c r="BE209" s="5"/>
      <c r="BF209" s="5"/>
      <c r="BG209" s="5"/>
      <c r="BH209" s="5"/>
    </row>
    <row r="210" spans="1:60" s="2" customFormat="1">
      <c r="A210" s="70">
        <v>270</v>
      </c>
      <c r="C210" s="2" t="e">
        <f t="shared" si="81"/>
        <v>#N/A</v>
      </c>
      <c r="D210" s="2" t="e">
        <f t="shared" si="82"/>
        <v>#N/A</v>
      </c>
      <c r="F210" s="2" t="e">
        <f t="shared" si="83"/>
        <v>#N/A</v>
      </c>
      <c r="G210" s="2" t="e">
        <f t="shared" si="84"/>
        <v>#N/A</v>
      </c>
      <c r="I210" s="2" t="e">
        <f t="shared" si="85"/>
        <v>#N/A</v>
      </c>
      <c r="J210" s="2" t="e">
        <f t="shared" si="86"/>
        <v>#N/A</v>
      </c>
      <c r="L210" s="2" t="e">
        <f t="shared" si="87"/>
        <v>#N/A</v>
      </c>
      <c r="M210" s="2" t="e">
        <f t="shared" si="88"/>
        <v>#N/A</v>
      </c>
      <c r="O210" s="2" t="e">
        <f t="shared" si="89"/>
        <v>#N/A</v>
      </c>
      <c r="P210" s="2" t="e">
        <f t="shared" si="90"/>
        <v>#N/A</v>
      </c>
      <c r="R210" s="2" t="e">
        <f t="shared" si="91"/>
        <v>#N/A</v>
      </c>
      <c r="S210" s="2" t="e">
        <f t="shared" si="92"/>
        <v>#N/A</v>
      </c>
      <c r="U210" s="2" t="e">
        <f t="shared" si="93"/>
        <v>#N/A</v>
      </c>
      <c r="V210" s="2" t="e">
        <f t="shared" si="94"/>
        <v>#N/A</v>
      </c>
      <c r="X210" s="2" t="e">
        <f t="shared" si="95"/>
        <v>#N/A</v>
      </c>
      <c r="Y210" s="2" t="e">
        <f t="shared" si="96"/>
        <v>#N/A</v>
      </c>
      <c r="AA210" s="2" t="e">
        <f t="shared" si="97"/>
        <v>#N/A</v>
      </c>
      <c r="AB210" s="2" t="e">
        <f t="shared" si="98"/>
        <v>#N/A</v>
      </c>
      <c r="BB210" s="5"/>
      <c r="BC210" s="5"/>
      <c r="BD210" s="5"/>
      <c r="BE210" s="5"/>
      <c r="BF210" s="5"/>
      <c r="BG210" s="5"/>
      <c r="BH210" s="5"/>
    </row>
    <row r="211" spans="1:60" s="2" customFormat="1">
      <c r="A211" s="70">
        <v>285</v>
      </c>
      <c r="C211" s="2" t="e">
        <f t="shared" si="81"/>
        <v>#N/A</v>
      </c>
      <c r="D211" s="2" t="e">
        <f t="shared" si="82"/>
        <v>#N/A</v>
      </c>
      <c r="F211" s="2" t="e">
        <f t="shared" si="83"/>
        <v>#N/A</v>
      </c>
      <c r="G211" s="2" t="e">
        <f t="shared" si="84"/>
        <v>#N/A</v>
      </c>
      <c r="I211" s="2" t="e">
        <f t="shared" si="85"/>
        <v>#N/A</v>
      </c>
      <c r="J211" s="2" t="e">
        <f t="shared" si="86"/>
        <v>#N/A</v>
      </c>
      <c r="L211" s="2" t="e">
        <f t="shared" si="87"/>
        <v>#N/A</v>
      </c>
      <c r="M211" s="2" t="e">
        <f t="shared" si="88"/>
        <v>#N/A</v>
      </c>
      <c r="O211" s="2" t="e">
        <f t="shared" si="89"/>
        <v>#N/A</v>
      </c>
      <c r="P211" s="2" t="e">
        <f t="shared" si="90"/>
        <v>#N/A</v>
      </c>
      <c r="R211" s="2" t="e">
        <f t="shared" si="91"/>
        <v>#N/A</v>
      </c>
      <c r="S211" s="2" t="e">
        <f t="shared" si="92"/>
        <v>#N/A</v>
      </c>
      <c r="U211" s="2" t="e">
        <f t="shared" si="93"/>
        <v>#N/A</v>
      </c>
      <c r="V211" s="2" t="e">
        <f t="shared" si="94"/>
        <v>#N/A</v>
      </c>
      <c r="X211" s="2" t="e">
        <f t="shared" si="95"/>
        <v>#N/A</v>
      </c>
      <c r="Y211" s="2" t="e">
        <f t="shared" si="96"/>
        <v>#N/A</v>
      </c>
      <c r="AA211" s="2" t="e">
        <f t="shared" si="97"/>
        <v>#N/A</v>
      </c>
      <c r="AB211" s="2" t="e">
        <f t="shared" si="98"/>
        <v>#N/A</v>
      </c>
      <c r="BB211" s="5"/>
      <c r="BC211" s="5"/>
      <c r="BD211" s="5"/>
      <c r="BE211" s="5"/>
      <c r="BF211" s="5"/>
      <c r="BG211" s="5"/>
      <c r="BH211" s="5"/>
    </row>
    <row r="212" spans="1:60" s="2" customFormat="1">
      <c r="A212" s="70">
        <v>300</v>
      </c>
      <c r="C212" s="2" t="e">
        <f t="shared" si="81"/>
        <v>#N/A</v>
      </c>
      <c r="D212" s="2" t="e">
        <f t="shared" si="82"/>
        <v>#N/A</v>
      </c>
      <c r="F212" s="2" t="e">
        <f t="shared" si="83"/>
        <v>#N/A</v>
      </c>
      <c r="G212" s="2" t="e">
        <f t="shared" si="84"/>
        <v>#N/A</v>
      </c>
      <c r="I212" s="2" t="e">
        <f t="shared" si="85"/>
        <v>#N/A</v>
      </c>
      <c r="J212" s="2" t="e">
        <f t="shared" si="86"/>
        <v>#N/A</v>
      </c>
      <c r="L212" s="2" t="e">
        <f t="shared" si="87"/>
        <v>#N/A</v>
      </c>
      <c r="M212" s="2" t="e">
        <f t="shared" si="88"/>
        <v>#N/A</v>
      </c>
      <c r="O212" s="2" t="e">
        <f t="shared" si="89"/>
        <v>#N/A</v>
      </c>
      <c r="P212" s="2" t="e">
        <f t="shared" si="90"/>
        <v>#N/A</v>
      </c>
      <c r="R212" s="2" t="e">
        <f t="shared" si="91"/>
        <v>#N/A</v>
      </c>
      <c r="S212" s="2" t="e">
        <f t="shared" si="92"/>
        <v>#N/A</v>
      </c>
      <c r="U212" s="2" t="e">
        <f t="shared" si="93"/>
        <v>#N/A</v>
      </c>
      <c r="V212" s="2" t="e">
        <f t="shared" si="94"/>
        <v>#N/A</v>
      </c>
      <c r="X212" s="2" t="e">
        <f t="shared" si="95"/>
        <v>#N/A</v>
      </c>
      <c r="Y212" s="2" t="e">
        <f t="shared" si="96"/>
        <v>#N/A</v>
      </c>
      <c r="AA212" s="2" t="e">
        <f t="shared" si="97"/>
        <v>#N/A</v>
      </c>
      <c r="AB212" s="2" t="e">
        <f t="shared" si="98"/>
        <v>#N/A</v>
      </c>
      <c r="BB212" s="5"/>
      <c r="BC212" s="5"/>
      <c r="BD212" s="5"/>
      <c r="BE212" s="5"/>
      <c r="BF212" s="5"/>
      <c r="BG212" s="5"/>
      <c r="BH212" s="5"/>
    </row>
    <row r="213" spans="1:60" s="2" customFormat="1">
      <c r="A213" s="70">
        <v>315</v>
      </c>
      <c r="C213" s="2" t="e">
        <f t="shared" si="81"/>
        <v>#N/A</v>
      </c>
      <c r="D213" s="2" t="e">
        <f t="shared" si="82"/>
        <v>#N/A</v>
      </c>
      <c r="F213" s="2" t="e">
        <f t="shared" si="83"/>
        <v>#N/A</v>
      </c>
      <c r="G213" s="2" t="e">
        <f t="shared" si="84"/>
        <v>#N/A</v>
      </c>
      <c r="I213" s="2" t="e">
        <f t="shared" si="85"/>
        <v>#N/A</v>
      </c>
      <c r="J213" s="2" t="e">
        <f t="shared" si="86"/>
        <v>#N/A</v>
      </c>
      <c r="L213" s="2" t="e">
        <f t="shared" si="87"/>
        <v>#N/A</v>
      </c>
      <c r="M213" s="2" t="e">
        <f t="shared" si="88"/>
        <v>#N/A</v>
      </c>
      <c r="O213" s="2" t="e">
        <f t="shared" si="89"/>
        <v>#N/A</v>
      </c>
      <c r="P213" s="2" t="e">
        <f t="shared" si="90"/>
        <v>#N/A</v>
      </c>
      <c r="R213" s="2" t="e">
        <f t="shared" si="91"/>
        <v>#N/A</v>
      </c>
      <c r="S213" s="2" t="e">
        <f t="shared" si="92"/>
        <v>#N/A</v>
      </c>
      <c r="U213" s="2" t="e">
        <f t="shared" si="93"/>
        <v>#N/A</v>
      </c>
      <c r="V213" s="2" t="e">
        <f t="shared" si="94"/>
        <v>#N/A</v>
      </c>
      <c r="X213" s="2" t="e">
        <f t="shared" si="95"/>
        <v>#N/A</v>
      </c>
      <c r="Y213" s="2" t="e">
        <f t="shared" si="96"/>
        <v>#N/A</v>
      </c>
      <c r="AA213" s="2" t="e">
        <f t="shared" si="97"/>
        <v>#N/A</v>
      </c>
      <c r="AB213" s="2" t="e">
        <f t="shared" si="98"/>
        <v>#N/A</v>
      </c>
      <c r="BB213" s="5"/>
      <c r="BC213" s="5"/>
      <c r="BD213" s="5"/>
      <c r="BE213" s="5"/>
      <c r="BF213" s="5"/>
      <c r="BG213" s="5"/>
      <c r="BH213" s="5"/>
    </row>
    <row r="214" spans="1:60" s="2" customFormat="1">
      <c r="A214" s="70">
        <v>330</v>
      </c>
      <c r="C214" s="2" t="e">
        <f t="shared" si="81"/>
        <v>#N/A</v>
      </c>
      <c r="D214" s="2" t="e">
        <f t="shared" si="82"/>
        <v>#N/A</v>
      </c>
      <c r="F214" s="2" t="e">
        <f t="shared" si="83"/>
        <v>#N/A</v>
      </c>
      <c r="G214" s="2" t="e">
        <f t="shared" si="84"/>
        <v>#N/A</v>
      </c>
      <c r="I214" s="2" t="e">
        <f t="shared" si="85"/>
        <v>#N/A</v>
      </c>
      <c r="J214" s="2" t="e">
        <f t="shared" si="86"/>
        <v>#N/A</v>
      </c>
      <c r="L214" s="2" t="e">
        <f t="shared" si="87"/>
        <v>#N/A</v>
      </c>
      <c r="M214" s="2" t="e">
        <f t="shared" si="88"/>
        <v>#N/A</v>
      </c>
      <c r="O214" s="2" t="e">
        <f t="shared" si="89"/>
        <v>#N/A</v>
      </c>
      <c r="P214" s="2" t="e">
        <f t="shared" si="90"/>
        <v>#N/A</v>
      </c>
      <c r="R214" s="2" t="e">
        <f t="shared" si="91"/>
        <v>#N/A</v>
      </c>
      <c r="S214" s="2" t="e">
        <f t="shared" si="92"/>
        <v>#N/A</v>
      </c>
      <c r="U214" s="2" t="e">
        <f t="shared" si="93"/>
        <v>#N/A</v>
      </c>
      <c r="V214" s="2" t="e">
        <f t="shared" si="94"/>
        <v>#N/A</v>
      </c>
      <c r="X214" s="2" t="e">
        <f t="shared" si="95"/>
        <v>#N/A</v>
      </c>
      <c r="Y214" s="2" t="e">
        <f t="shared" si="96"/>
        <v>#N/A</v>
      </c>
      <c r="AA214" s="2" t="e">
        <f t="shared" si="97"/>
        <v>#N/A</v>
      </c>
      <c r="AB214" s="2" t="e">
        <f t="shared" si="98"/>
        <v>#N/A</v>
      </c>
      <c r="BB214" s="5"/>
      <c r="BC214" s="5"/>
      <c r="BD214" s="5"/>
      <c r="BE214" s="5"/>
      <c r="BF214" s="5"/>
      <c r="BG214" s="5"/>
      <c r="BH214" s="5"/>
    </row>
    <row r="215" spans="1:60" s="2" customFormat="1">
      <c r="A215" s="70">
        <v>345</v>
      </c>
      <c r="C215" s="2" t="e">
        <f t="shared" si="81"/>
        <v>#N/A</v>
      </c>
      <c r="D215" s="2" t="e">
        <f t="shared" si="82"/>
        <v>#N/A</v>
      </c>
      <c r="F215" s="2" t="e">
        <f t="shared" si="83"/>
        <v>#N/A</v>
      </c>
      <c r="G215" s="2" t="e">
        <f t="shared" si="84"/>
        <v>#N/A</v>
      </c>
      <c r="I215" s="2" t="e">
        <f t="shared" si="85"/>
        <v>#N/A</v>
      </c>
      <c r="J215" s="2" t="e">
        <f t="shared" si="86"/>
        <v>#N/A</v>
      </c>
      <c r="L215" s="2" t="e">
        <f t="shared" si="87"/>
        <v>#N/A</v>
      </c>
      <c r="M215" s="2" t="e">
        <f t="shared" si="88"/>
        <v>#N/A</v>
      </c>
      <c r="O215" s="2" t="e">
        <f t="shared" si="89"/>
        <v>#N/A</v>
      </c>
      <c r="P215" s="2" t="e">
        <f t="shared" si="90"/>
        <v>#N/A</v>
      </c>
      <c r="R215" s="2" t="e">
        <f t="shared" si="91"/>
        <v>#N/A</v>
      </c>
      <c r="S215" s="2" t="e">
        <f t="shared" si="92"/>
        <v>#N/A</v>
      </c>
      <c r="U215" s="2" t="e">
        <f t="shared" si="93"/>
        <v>#N/A</v>
      </c>
      <c r="V215" s="2" t="e">
        <f t="shared" si="94"/>
        <v>#N/A</v>
      </c>
      <c r="X215" s="2" t="e">
        <f t="shared" si="95"/>
        <v>#N/A</v>
      </c>
      <c r="Y215" s="2" t="e">
        <f t="shared" si="96"/>
        <v>#N/A</v>
      </c>
      <c r="AA215" s="2" t="e">
        <f t="shared" si="97"/>
        <v>#N/A</v>
      </c>
      <c r="AB215" s="2" t="e">
        <f t="shared" si="98"/>
        <v>#N/A</v>
      </c>
      <c r="BB215" s="5"/>
      <c r="BC215" s="5"/>
      <c r="BD215" s="5"/>
      <c r="BE215" s="5"/>
      <c r="BF215" s="5"/>
      <c r="BG215" s="5"/>
      <c r="BH215" s="5"/>
    </row>
    <row r="216" spans="1:60" s="2" customFormat="1">
      <c r="A216" s="70">
        <v>360</v>
      </c>
      <c r="C216" s="2" t="e">
        <f t="shared" si="81"/>
        <v>#N/A</v>
      </c>
      <c r="D216" s="2" t="e">
        <f t="shared" si="82"/>
        <v>#N/A</v>
      </c>
      <c r="F216" s="2" t="e">
        <f t="shared" si="83"/>
        <v>#N/A</v>
      </c>
      <c r="G216" s="2" t="e">
        <f t="shared" si="84"/>
        <v>#N/A</v>
      </c>
      <c r="I216" s="2" t="e">
        <f t="shared" si="85"/>
        <v>#N/A</v>
      </c>
      <c r="J216" s="2" t="e">
        <f t="shared" si="86"/>
        <v>#N/A</v>
      </c>
      <c r="L216" s="2" t="e">
        <f t="shared" si="87"/>
        <v>#N/A</v>
      </c>
      <c r="M216" s="2" t="e">
        <f t="shared" si="88"/>
        <v>#N/A</v>
      </c>
      <c r="O216" s="2" t="e">
        <f t="shared" si="89"/>
        <v>#N/A</v>
      </c>
      <c r="P216" s="2" t="e">
        <f t="shared" si="90"/>
        <v>#N/A</v>
      </c>
      <c r="R216" s="2" t="e">
        <f t="shared" si="91"/>
        <v>#N/A</v>
      </c>
      <c r="S216" s="2" t="e">
        <f t="shared" si="92"/>
        <v>#N/A</v>
      </c>
      <c r="U216" s="2" t="e">
        <f t="shared" si="93"/>
        <v>#N/A</v>
      </c>
      <c r="V216" s="2" t="e">
        <f t="shared" si="94"/>
        <v>#N/A</v>
      </c>
      <c r="X216" s="2" t="e">
        <f t="shared" si="95"/>
        <v>#N/A</v>
      </c>
      <c r="Y216" s="2" t="e">
        <f t="shared" si="96"/>
        <v>#N/A</v>
      </c>
      <c r="AA216" s="2" t="e">
        <f t="shared" si="97"/>
        <v>#N/A</v>
      </c>
      <c r="AB216" s="2" t="e">
        <f t="shared" si="98"/>
        <v>#N/A</v>
      </c>
      <c r="BB216" s="5"/>
      <c r="BC216" s="5"/>
      <c r="BD216" s="5"/>
      <c r="BE216" s="5"/>
      <c r="BF216" s="5"/>
      <c r="BG216" s="5"/>
      <c r="BH216" s="5"/>
    </row>
    <row r="217" spans="1:60" s="2" customFormat="1">
      <c r="A217" s="70"/>
      <c r="BB217" s="5"/>
      <c r="BC217" s="5"/>
      <c r="BD217" s="5"/>
      <c r="BE217" s="5"/>
      <c r="BF217" s="5"/>
      <c r="BG217" s="5"/>
      <c r="BH217" s="5"/>
    </row>
    <row r="218" spans="1:60" s="2" customFormat="1">
      <c r="A218" s="70">
        <v>0</v>
      </c>
      <c r="B218" s="2">
        <v>5</v>
      </c>
      <c r="C218" s="2" t="e">
        <f t="shared" ref="C218:C242" si="99">IF(AND(AG$3,C$565&gt;0),E$17*COS($A218*PI()/180)+C$565,NA())</f>
        <v>#N/A</v>
      </c>
      <c r="D218" s="2" t="e">
        <f t="shared" ref="D218:D242" si="100">IF(AND(AG$3,C$565&gt;0),E$17*SIN($A218*PI()/180)+E$13,NA())</f>
        <v>#N/A</v>
      </c>
      <c r="F218" s="2" t="e">
        <f t="shared" ref="F218:F242" si="101">IF(AND(AH$3,F$565&gt;0),H$17*COS($A218*PI()/180)+F$565,NA())</f>
        <v>#N/A</v>
      </c>
      <c r="G218" s="2" t="e">
        <f t="shared" ref="G218:G242" si="102">IF(AND(AH$3,F$565&gt;0),H$17*SIN($A218*PI()/180)+H$13,NA())</f>
        <v>#N/A</v>
      </c>
      <c r="I218" s="2" t="e">
        <f t="shared" ref="I218:I242" si="103">IF(AND(AI$3,I$565&gt;0),K$17*COS($A218*PI()/180)+I$565,NA())</f>
        <v>#N/A</v>
      </c>
      <c r="J218" s="2" t="e">
        <f t="shared" ref="J218:J242" si="104">IF(AND(AI$3,I$565&gt;0),K$17*SIN($A218*PI()/180)+K$13,NA())</f>
        <v>#N/A</v>
      </c>
      <c r="L218" s="2" t="e">
        <f t="shared" ref="L218:L242" si="105">IF(AND(AJ$3,L$565&gt;0),N$17*COS($A218*PI()/180)+L$565,NA())</f>
        <v>#N/A</v>
      </c>
      <c r="M218" s="2" t="e">
        <f t="shared" ref="M218:M242" si="106">IF(AND(AJ$3,L$565&gt;0),N$17*SIN($A218*PI()/180)+N$13,NA())</f>
        <v>#N/A</v>
      </c>
      <c r="O218" s="2" t="e">
        <f t="shared" ref="O218:O242" si="107">IF(AND(AK$3,O$565&gt;0),Q$17*COS($A218*PI()/180)+O$565,NA())</f>
        <v>#N/A</v>
      </c>
      <c r="P218" s="2" t="e">
        <f t="shared" ref="P218:P242" si="108">IF(AND(AK$3,O$565&gt;0),Q$17*SIN($A218*PI()/180)+Q$13,NA())</f>
        <v>#N/A</v>
      </c>
      <c r="R218" s="2" t="e">
        <f t="shared" ref="R218:R242" si="109">IF(AND(AL$3,R$565&gt;0),T$17*COS($A218*PI()/180)+R$565,NA())</f>
        <v>#N/A</v>
      </c>
      <c r="S218" s="2" t="e">
        <f t="shared" ref="S218:S242" si="110">IF(AND(AL$3,R$565&gt;0),T$17*SIN($A218*PI()/180)+T$13,NA())</f>
        <v>#N/A</v>
      </c>
      <c r="U218" s="2" t="e">
        <f t="shared" ref="U218:U242" si="111">IF(AND(AM$3,U$565&gt;0),W$17*COS($A218*PI()/180)+U$565,NA())</f>
        <v>#N/A</v>
      </c>
      <c r="V218" s="2" t="e">
        <f t="shared" ref="V218:V242" si="112">IF(AND(AM$3,U$565&gt;0),W$17*SIN($A218*PI()/180)+W$13,NA())</f>
        <v>#N/A</v>
      </c>
      <c r="X218" s="2" t="e">
        <f t="shared" ref="X218:X242" si="113">IF(AND(AN$3,X$565&gt;0),Z$17*COS($A218*PI()/180)+X$565,NA())</f>
        <v>#N/A</v>
      </c>
      <c r="Y218" s="2" t="e">
        <f t="shared" ref="Y218:Y242" si="114">IF(AND(AN$3,X$565&gt;0),Z$17*SIN($A218*PI()/180)+Z$13,NA())</f>
        <v>#N/A</v>
      </c>
      <c r="AA218" s="2" t="e">
        <f t="shared" ref="AA218:AA242" si="115">IF(AND(AO$3,AA$565&gt;0),AC$17*COS($A218*PI()/180)+AA$565,NA())</f>
        <v>#N/A</v>
      </c>
      <c r="AB218" s="2" t="e">
        <f t="shared" ref="AB218:AB242" si="116">IF(AND(AO$3,AA$565&gt;0),AC$17*SIN($A218*PI()/180)+AC$13,NA())</f>
        <v>#N/A</v>
      </c>
      <c r="BB218" s="5"/>
      <c r="BC218" s="5"/>
      <c r="BD218" s="5"/>
      <c r="BE218" s="5"/>
      <c r="BF218" s="5"/>
      <c r="BG218" s="5"/>
      <c r="BH218" s="5"/>
    </row>
    <row r="219" spans="1:60" s="2" customFormat="1">
      <c r="A219" s="70">
        <v>15</v>
      </c>
      <c r="C219" s="2" t="e">
        <f t="shared" si="99"/>
        <v>#N/A</v>
      </c>
      <c r="D219" s="2" t="e">
        <f t="shared" si="100"/>
        <v>#N/A</v>
      </c>
      <c r="F219" s="2" t="e">
        <f t="shared" si="101"/>
        <v>#N/A</v>
      </c>
      <c r="G219" s="2" t="e">
        <f t="shared" si="102"/>
        <v>#N/A</v>
      </c>
      <c r="I219" s="2" t="e">
        <f t="shared" si="103"/>
        <v>#N/A</v>
      </c>
      <c r="J219" s="2" t="e">
        <f t="shared" si="104"/>
        <v>#N/A</v>
      </c>
      <c r="L219" s="2" t="e">
        <f t="shared" si="105"/>
        <v>#N/A</v>
      </c>
      <c r="M219" s="2" t="e">
        <f t="shared" si="106"/>
        <v>#N/A</v>
      </c>
      <c r="O219" s="2" t="e">
        <f t="shared" si="107"/>
        <v>#N/A</v>
      </c>
      <c r="P219" s="2" t="e">
        <f t="shared" si="108"/>
        <v>#N/A</v>
      </c>
      <c r="R219" s="2" t="e">
        <f t="shared" si="109"/>
        <v>#N/A</v>
      </c>
      <c r="S219" s="2" t="e">
        <f t="shared" si="110"/>
        <v>#N/A</v>
      </c>
      <c r="U219" s="2" t="e">
        <f t="shared" si="111"/>
        <v>#N/A</v>
      </c>
      <c r="V219" s="2" t="e">
        <f t="shared" si="112"/>
        <v>#N/A</v>
      </c>
      <c r="X219" s="2" t="e">
        <f t="shared" si="113"/>
        <v>#N/A</v>
      </c>
      <c r="Y219" s="2" t="e">
        <f t="shared" si="114"/>
        <v>#N/A</v>
      </c>
      <c r="AA219" s="2" t="e">
        <f t="shared" si="115"/>
        <v>#N/A</v>
      </c>
      <c r="AB219" s="2" t="e">
        <f t="shared" si="116"/>
        <v>#N/A</v>
      </c>
      <c r="BB219" s="5"/>
      <c r="BC219" s="5"/>
      <c r="BD219" s="5"/>
      <c r="BE219" s="5"/>
      <c r="BF219" s="5"/>
      <c r="BG219" s="5"/>
      <c r="BH219" s="5"/>
    </row>
    <row r="220" spans="1:60" s="2" customFormat="1">
      <c r="A220" s="70">
        <v>30</v>
      </c>
      <c r="C220" s="2" t="e">
        <f t="shared" si="99"/>
        <v>#N/A</v>
      </c>
      <c r="D220" s="2" t="e">
        <f t="shared" si="100"/>
        <v>#N/A</v>
      </c>
      <c r="F220" s="2" t="e">
        <f t="shared" si="101"/>
        <v>#N/A</v>
      </c>
      <c r="G220" s="2" t="e">
        <f t="shared" si="102"/>
        <v>#N/A</v>
      </c>
      <c r="I220" s="2" t="e">
        <f t="shared" si="103"/>
        <v>#N/A</v>
      </c>
      <c r="J220" s="2" t="e">
        <f t="shared" si="104"/>
        <v>#N/A</v>
      </c>
      <c r="L220" s="2" t="e">
        <f t="shared" si="105"/>
        <v>#N/A</v>
      </c>
      <c r="M220" s="2" t="e">
        <f t="shared" si="106"/>
        <v>#N/A</v>
      </c>
      <c r="O220" s="2" t="e">
        <f t="shared" si="107"/>
        <v>#N/A</v>
      </c>
      <c r="P220" s="2" t="e">
        <f t="shared" si="108"/>
        <v>#N/A</v>
      </c>
      <c r="R220" s="2" t="e">
        <f t="shared" si="109"/>
        <v>#N/A</v>
      </c>
      <c r="S220" s="2" t="e">
        <f t="shared" si="110"/>
        <v>#N/A</v>
      </c>
      <c r="U220" s="2" t="e">
        <f t="shared" si="111"/>
        <v>#N/A</v>
      </c>
      <c r="V220" s="2" t="e">
        <f t="shared" si="112"/>
        <v>#N/A</v>
      </c>
      <c r="X220" s="2" t="e">
        <f t="shared" si="113"/>
        <v>#N/A</v>
      </c>
      <c r="Y220" s="2" t="e">
        <f t="shared" si="114"/>
        <v>#N/A</v>
      </c>
      <c r="AA220" s="2" t="e">
        <f t="shared" si="115"/>
        <v>#N/A</v>
      </c>
      <c r="AB220" s="2" t="e">
        <f t="shared" si="116"/>
        <v>#N/A</v>
      </c>
      <c r="BB220" s="5"/>
      <c r="BC220" s="5"/>
      <c r="BD220" s="5"/>
      <c r="BE220" s="5"/>
      <c r="BF220" s="5"/>
      <c r="BG220" s="5"/>
      <c r="BH220" s="5"/>
    </row>
    <row r="221" spans="1:60" s="2" customFormat="1">
      <c r="A221" s="70">
        <v>45</v>
      </c>
      <c r="C221" s="2" t="e">
        <f t="shared" si="99"/>
        <v>#N/A</v>
      </c>
      <c r="D221" s="2" t="e">
        <f t="shared" si="100"/>
        <v>#N/A</v>
      </c>
      <c r="F221" s="2" t="e">
        <f t="shared" si="101"/>
        <v>#N/A</v>
      </c>
      <c r="G221" s="2" t="e">
        <f t="shared" si="102"/>
        <v>#N/A</v>
      </c>
      <c r="I221" s="2" t="e">
        <f t="shared" si="103"/>
        <v>#N/A</v>
      </c>
      <c r="J221" s="2" t="e">
        <f t="shared" si="104"/>
        <v>#N/A</v>
      </c>
      <c r="L221" s="2" t="e">
        <f t="shared" si="105"/>
        <v>#N/A</v>
      </c>
      <c r="M221" s="2" t="e">
        <f t="shared" si="106"/>
        <v>#N/A</v>
      </c>
      <c r="O221" s="2" t="e">
        <f t="shared" si="107"/>
        <v>#N/A</v>
      </c>
      <c r="P221" s="2" t="e">
        <f t="shared" si="108"/>
        <v>#N/A</v>
      </c>
      <c r="R221" s="2" t="e">
        <f t="shared" si="109"/>
        <v>#N/A</v>
      </c>
      <c r="S221" s="2" t="e">
        <f t="shared" si="110"/>
        <v>#N/A</v>
      </c>
      <c r="U221" s="2" t="e">
        <f t="shared" si="111"/>
        <v>#N/A</v>
      </c>
      <c r="V221" s="2" t="e">
        <f t="shared" si="112"/>
        <v>#N/A</v>
      </c>
      <c r="X221" s="2" t="e">
        <f t="shared" si="113"/>
        <v>#N/A</v>
      </c>
      <c r="Y221" s="2" t="e">
        <f t="shared" si="114"/>
        <v>#N/A</v>
      </c>
      <c r="AA221" s="2" t="e">
        <f t="shared" si="115"/>
        <v>#N/A</v>
      </c>
      <c r="AB221" s="2" t="e">
        <f t="shared" si="116"/>
        <v>#N/A</v>
      </c>
      <c r="BB221" s="5"/>
      <c r="BC221" s="5"/>
      <c r="BD221" s="5"/>
      <c r="BE221" s="5"/>
      <c r="BF221" s="5"/>
      <c r="BG221" s="5"/>
      <c r="BH221" s="5"/>
    </row>
    <row r="222" spans="1:60" s="2" customFormat="1">
      <c r="A222" s="70">
        <v>60</v>
      </c>
      <c r="C222" s="2" t="e">
        <f t="shared" si="99"/>
        <v>#N/A</v>
      </c>
      <c r="D222" s="2" t="e">
        <f t="shared" si="100"/>
        <v>#N/A</v>
      </c>
      <c r="F222" s="2" t="e">
        <f t="shared" si="101"/>
        <v>#N/A</v>
      </c>
      <c r="G222" s="2" t="e">
        <f t="shared" si="102"/>
        <v>#N/A</v>
      </c>
      <c r="I222" s="2" t="e">
        <f t="shared" si="103"/>
        <v>#N/A</v>
      </c>
      <c r="J222" s="2" t="e">
        <f t="shared" si="104"/>
        <v>#N/A</v>
      </c>
      <c r="L222" s="2" t="e">
        <f t="shared" si="105"/>
        <v>#N/A</v>
      </c>
      <c r="M222" s="2" t="e">
        <f t="shared" si="106"/>
        <v>#N/A</v>
      </c>
      <c r="O222" s="2" t="e">
        <f t="shared" si="107"/>
        <v>#N/A</v>
      </c>
      <c r="P222" s="2" t="e">
        <f t="shared" si="108"/>
        <v>#N/A</v>
      </c>
      <c r="R222" s="2" t="e">
        <f t="shared" si="109"/>
        <v>#N/A</v>
      </c>
      <c r="S222" s="2" t="e">
        <f t="shared" si="110"/>
        <v>#N/A</v>
      </c>
      <c r="U222" s="2" t="e">
        <f t="shared" si="111"/>
        <v>#N/A</v>
      </c>
      <c r="V222" s="2" t="e">
        <f t="shared" si="112"/>
        <v>#N/A</v>
      </c>
      <c r="X222" s="2" t="e">
        <f t="shared" si="113"/>
        <v>#N/A</v>
      </c>
      <c r="Y222" s="2" t="e">
        <f t="shared" si="114"/>
        <v>#N/A</v>
      </c>
      <c r="AA222" s="2" t="e">
        <f t="shared" si="115"/>
        <v>#N/A</v>
      </c>
      <c r="AB222" s="2" t="e">
        <f t="shared" si="116"/>
        <v>#N/A</v>
      </c>
      <c r="BB222" s="5"/>
      <c r="BC222" s="5"/>
      <c r="BD222" s="5"/>
      <c r="BE222" s="5"/>
      <c r="BF222" s="5"/>
      <c r="BG222" s="5"/>
      <c r="BH222" s="5"/>
    </row>
    <row r="223" spans="1:60" s="2" customFormat="1">
      <c r="A223" s="70">
        <v>75</v>
      </c>
      <c r="C223" s="2" t="e">
        <f t="shared" si="99"/>
        <v>#N/A</v>
      </c>
      <c r="D223" s="2" t="e">
        <f t="shared" si="100"/>
        <v>#N/A</v>
      </c>
      <c r="F223" s="2" t="e">
        <f t="shared" si="101"/>
        <v>#N/A</v>
      </c>
      <c r="G223" s="2" t="e">
        <f t="shared" si="102"/>
        <v>#N/A</v>
      </c>
      <c r="I223" s="2" t="e">
        <f t="shared" si="103"/>
        <v>#N/A</v>
      </c>
      <c r="J223" s="2" t="e">
        <f t="shared" si="104"/>
        <v>#N/A</v>
      </c>
      <c r="L223" s="2" t="e">
        <f t="shared" si="105"/>
        <v>#N/A</v>
      </c>
      <c r="M223" s="2" t="e">
        <f t="shared" si="106"/>
        <v>#N/A</v>
      </c>
      <c r="O223" s="2" t="e">
        <f t="shared" si="107"/>
        <v>#N/A</v>
      </c>
      <c r="P223" s="2" t="e">
        <f t="shared" si="108"/>
        <v>#N/A</v>
      </c>
      <c r="R223" s="2" t="e">
        <f t="shared" si="109"/>
        <v>#N/A</v>
      </c>
      <c r="S223" s="2" t="e">
        <f t="shared" si="110"/>
        <v>#N/A</v>
      </c>
      <c r="U223" s="2" t="e">
        <f t="shared" si="111"/>
        <v>#N/A</v>
      </c>
      <c r="V223" s="2" t="e">
        <f t="shared" si="112"/>
        <v>#N/A</v>
      </c>
      <c r="X223" s="2" t="e">
        <f t="shared" si="113"/>
        <v>#N/A</v>
      </c>
      <c r="Y223" s="2" t="e">
        <f t="shared" si="114"/>
        <v>#N/A</v>
      </c>
      <c r="AA223" s="2" t="e">
        <f t="shared" si="115"/>
        <v>#N/A</v>
      </c>
      <c r="AB223" s="2" t="e">
        <f t="shared" si="116"/>
        <v>#N/A</v>
      </c>
      <c r="BB223" s="5"/>
      <c r="BC223" s="5"/>
      <c r="BD223" s="5"/>
      <c r="BE223" s="5"/>
      <c r="BF223" s="5"/>
      <c r="BG223" s="5"/>
      <c r="BH223" s="5"/>
    </row>
    <row r="224" spans="1:60" s="2" customFormat="1">
      <c r="A224" s="70">
        <v>90</v>
      </c>
      <c r="C224" s="2" t="e">
        <f t="shared" si="99"/>
        <v>#N/A</v>
      </c>
      <c r="D224" s="2" t="e">
        <f t="shared" si="100"/>
        <v>#N/A</v>
      </c>
      <c r="F224" s="2" t="e">
        <f t="shared" si="101"/>
        <v>#N/A</v>
      </c>
      <c r="G224" s="2" t="e">
        <f t="shared" si="102"/>
        <v>#N/A</v>
      </c>
      <c r="I224" s="2" t="e">
        <f t="shared" si="103"/>
        <v>#N/A</v>
      </c>
      <c r="J224" s="2" t="e">
        <f t="shared" si="104"/>
        <v>#N/A</v>
      </c>
      <c r="L224" s="2" t="e">
        <f t="shared" si="105"/>
        <v>#N/A</v>
      </c>
      <c r="M224" s="2" t="e">
        <f t="shared" si="106"/>
        <v>#N/A</v>
      </c>
      <c r="O224" s="2" t="e">
        <f t="shared" si="107"/>
        <v>#N/A</v>
      </c>
      <c r="P224" s="2" t="e">
        <f t="shared" si="108"/>
        <v>#N/A</v>
      </c>
      <c r="R224" s="2" t="e">
        <f t="shared" si="109"/>
        <v>#N/A</v>
      </c>
      <c r="S224" s="2" t="e">
        <f t="shared" si="110"/>
        <v>#N/A</v>
      </c>
      <c r="U224" s="2" t="e">
        <f t="shared" si="111"/>
        <v>#N/A</v>
      </c>
      <c r="V224" s="2" t="e">
        <f t="shared" si="112"/>
        <v>#N/A</v>
      </c>
      <c r="X224" s="2" t="e">
        <f t="shared" si="113"/>
        <v>#N/A</v>
      </c>
      <c r="Y224" s="2" t="e">
        <f t="shared" si="114"/>
        <v>#N/A</v>
      </c>
      <c r="AA224" s="2" t="e">
        <f t="shared" si="115"/>
        <v>#N/A</v>
      </c>
      <c r="AB224" s="2" t="e">
        <f t="shared" si="116"/>
        <v>#N/A</v>
      </c>
      <c r="BB224" s="5"/>
      <c r="BC224" s="5"/>
      <c r="BD224" s="5"/>
      <c r="BE224" s="5"/>
      <c r="BF224" s="5"/>
      <c r="BG224" s="5"/>
      <c r="BH224" s="5"/>
    </row>
    <row r="225" spans="1:60" s="2" customFormat="1">
      <c r="A225" s="70">
        <v>105</v>
      </c>
      <c r="C225" s="2" t="e">
        <f t="shared" si="99"/>
        <v>#N/A</v>
      </c>
      <c r="D225" s="2" t="e">
        <f t="shared" si="100"/>
        <v>#N/A</v>
      </c>
      <c r="F225" s="2" t="e">
        <f t="shared" si="101"/>
        <v>#N/A</v>
      </c>
      <c r="G225" s="2" t="e">
        <f t="shared" si="102"/>
        <v>#N/A</v>
      </c>
      <c r="I225" s="2" t="e">
        <f t="shared" si="103"/>
        <v>#N/A</v>
      </c>
      <c r="J225" s="2" t="e">
        <f t="shared" si="104"/>
        <v>#N/A</v>
      </c>
      <c r="L225" s="2" t="e">
        <f t="shared" si="105"/>
        <v>#N/A</v>
      </c>
      <c r="M225" s="2" t="e">
        <f t="shared" si="106"/>
        <v>#N/A</v>
      </c>
      <c r="O225" s="2" t="e">
        <f t="shared" si="107"/>
        <v>#N/A</v>
      </c>
      <c r="P225" s="2" t="e">
        <f t="shared" si="108"/>
        <v>#N/A</v>
      </c>
      <c r="R225" s="2" t="e">
        <f t="shared" si="109"/>
        <v>#N/A</v>
      </c>
      <c r="S225" s="2" t="e">
        <f t="shared" si="110"/>
        <v>#N/A</v>
      </c>
      <c r="U225" s="2" t="e">
        <f t="shared" si="111"/>
        <v>#N/A</v>
      </c>
      <c r="V225" s="2" t="e">
        <f t="shared" si="112"/>
        <v>#N/A</v>
      </c>
      <c r="X225" s="2" t="e">
        <f t="shared" si="113"/>
        <v>#N/A</v>
      </c>
      <c r="Y225" s="2" t="e">
        <f t="shared" si="114"/>
        <v>#N/A</v>
      </c>
      <c r="AA225" s="2" t="e">
        <f t="shared" si="115"/>
        <v>#N/A</v>
      </c>
      <c r="AB225" s="2" t="e">
        <f t="shared" si="116"/>
        <v>#N/A</v>
      </c>
      <c r="BB225" s="5"/>
      <c r="BC225" s="5"/>
      <c r="BD225" s="5"/>
      <c r="BE225" s="5"/>
      <c r="BF225" s="5"/>
      <c r="BG225" s="5"/>
      <c r="BH225" s="5"/>
    </row>
    <row r="226" spans="1:60" s="2" customFormat="1">
      <c r="A226" s="70">
        <v>120</v>
      </c>
      <c r="C226" s="2" t="e">
        <f t="shared" si="99"/>
        <v>#N/A</v>
      </c>
      <c r="D226" s="2" t="e">
        <f t="shared" si="100"/>
        <v>#N/A</v>
      </c>
      <c r="F226" s="2" t="e">
        <f t="shared" si="101"/>
        <v>#N/A</v>
      </c>
      <c r="G226" s="2" t="e">
        <f t="shared" si="102"/>
        <v>#N/A</v>
      </c>
      <c r="I226" s="2" t="e">
        <f t="shared" si="103"/>
        <v>#N/A</v>
      </c>
      <c r="J226" s="2" t="e">
        <f t="shared" si="104"/>
        <v>#N/A</v>
      </c>
      <c r="L226" s="2" t="e">
        <f t="shared" si="105"/>
        <v>#N/A</v>
      </c>
      <c r="M226" s="2" t="e">
        <f t="shared" si="106"/>
        <v>#N/A</v>
      </c>
      <c r="O226" s="2" t="e">
        <f t="shared" si="107"/>
        <v>#N/A</v>
      </c>
      <c r="P226" s="2" t="e">
        <f t="shared" si="108"/>
        <v>#N/A</v>
      </c>
      <c r="R226" s="2" t="e">
        <f t="shared" si="109"/>
        <v>#N/A</v>
      </c>
      <c r="S226" s="2" t="e">
        <f t="shared" si="110"/>
        <v>#N/A</v>
      </c>
      <c r="U226" s="2" t="e">
        <f t="shared" si="111"/>
        <v>#N/A</v>
      </c>
      <c r="V226" s="2" t="e">
        <f t="shared" si="112"/>
        <v>#N/A</v>
      </c>
      <c r="X226" s="2" t="e">
        <f t="shared" si="113"/>
        <v>#N/A</v>
      </c>
      <c r="Y226" s="2" t="e">
        <f t="shared" si="114"/>
        <v>#N/A</v>
      </c>
      <c r="AA226" s="2" t="e">
        <f t="shared" si="115"/>
        <v>#N/A</v>
      </c>
      <c r="AB226" s="2" t="e">
        <f t="shared" si="116"/>
        <v>#N/A</v>
      </c>
      <c r="BB226" s="5"/>
      <c r="BC226" s="5"/>
      <c r="BD226" s="5"/>
      <c r="BE226" s="5"/>
      <c r="BF226" s="5"/>
      <c r="BG226" s="5"/>
      <c r="BH226" s="5"/>
    </row>
    <row r="227" spans="1:60" s="2" customFormat="1">
      <c r="A227" s="70">
        <v>135</v>
      </c>
      <c r="C227" s="2" t="e">
        <f t="shared" si="99"/>
        <v>#N/A</v>
      </c>
      <c r="D227" s="2" t="e">
        <f t="shared" si="100"/>
        <v>#N/A</v>
      </c>
      <c r="F227" s="2" t="e">
        <f t="shared" si="101"/>
        <v>#N/A</v>
      </c>
      <c r="G227" s="2" t="e">
        <f t="shared" si="102"/>
        <v>#N/A</v>
      </c>
      <c r="I227" s="2" t="e">
        <f t="shared" si="103"/>
        <v>#N/A</v>
      </c>
      <c r="J227" s="2" t="e">
        <f t="shared" si="104"/>
        <v>#N/A</v>
      </c>
      <c r="L227" s="2" t="e">
        <f t="shared" si="105"/>
        <v>#N/A</v>
      </c>
      <c r="M227" s="2" t="e">
        <f t="shared" si="106"/>
        <v>#N/A</v>
      </c>
      <c r="O227" s="2" t="e">
        <f t="shared" si="107"/>
        <v>#N/A</v>
      </c>
      <c r="P227" s="2" t="e">
        <f t="shared" si="108"/>
        <v>#N/A</v>
      </c>
      <c r="R227" s="2" t="e">
        <f t="shared" si="109"/>
        <v>#N/A</v>
      </c>
      <c r="S227" s="2" t="e">
        <f t="shared" si="110"/>
        <v>#N/A</v>
      </c>
      <c r="U227" s="2" t="e">
        <f t="shared" si="111"/>
        <v>#N/A</v>
      </c>
      <c r="V227" s="2" t="e">
        <f t="shared" si="112"/>
        <v>#N/A</v>
      </c>
      <c r="X227" s="2" t="e">
        <f t="shared" si="113"/>
        <v>#N/A</v>
      </c>
      <c r="Y227" s="2" t="e">
        <f t="shared" si="114"/>
        <v>#N/A</v>
      </c>
      <c r="AA227" s="2" t="e">
        <f t="shared" si="115"/>
        <v>#N/A</v>
      </c>
      <c r="AB227" s="2" t="e">
        <f t="shared" si="116"/>
        <v>#N/A</v>
      </c>
      <c r="BB227" s="5"/>
      <c r="BC227" s="5"/>
      <c r="BD227" s="5"/>
      <c r="BE227" s="5"/>
      <c r="BF227" s="5"/>
      <c r="BG227" s="5"/>
      <c r="BH227" s="5"/>
    </row>
    <row r="228" spans="1:60" s="2" customFormat="1">
      <c r="A228" s="70">
        <v>150</v>
      </c>
      <c r="C228" s="2" t="e">
        <f t="shared" si="99"/>
        <v>#N/A</v>
      </c>
      <c r="D228" s="2" t="e">
        <f t="shared" si="100"/>
        <v>#N/A</v>
      </c>
      <c r="F228" s="2" t="e">
        <f t="shared" si="101"/>
        <v>#N/A</v>
      </c>
      <c r="G228" s="2" t="e">
        <f t="shared" si="102"/>
        <v>#N/A</v>
      </c>
      <c r="I228" s="2" t="e">
        <f t="shared" si="103"/>
        <v>#N/A</v>
      </c>
      <c r="J228" s="2" t="e">
        <f t="shared" si="104"/>
        <v>#N/A</v>
      </c>
      <c r="L228" s="2" t="e">
        <f t="shared" si="105"/>
        <v>#N/A</v>
      </c>
      <c r="M228" s="2" t="e">
        <f t="shared" si="106"/>
        <v>#N/A</v>
      </c>
      <c r="O228" s="2" t="e">
        <f t="shared" si="107"/>
        <v>#N/A</v>
      </c>
      <c r="P228" s="2" t="e">
        <f t="shared" si="108"/>
        <v>#N/A</v>
      </c>
      <c r="R228" s="2" t="e">
        <f t="shared" si="109"/>
        <v>#N/A</v>
      </c>
      <c r="S228" s="2" t="e">
        <f t="shared" si="110"/>
        <v>#N/A</v>
      </c>
      <c r="U228" s="2" t="e">
        <f t="shared" si="111"/>
        <v>#N/A</v>
      </c>
      <c r="V228" s="2" t="e">
        <f t="shared" si="112"/>
        <v>#N/A</v>
      </c>
      <c r="X228" s="2" t="e">
        <f t="shared" si="113"/>
        <v>#N/A</v>
      </c>
      <c r="Y228" s="2" t="e">
        <f t="shared" si="114"/>
        <v>#N/A</v>
      </c>
      <c r="AA228" s="2" t="e">
        <f t="shared" si="115"/>
        <v>#N/A</v>
      </c>
      <c r="AB228" s="2" t="e">
        <f t="shared" si="116"/>
        <v>#N/A</v>
      </c>
      <c r="BB228" s="5"/>
      <c r="BC228" s="5"/>
      <c r="BD228" s="5"/>
      <c r="BE228" s="5"/>
      <c r="BF228" s="5"/>
      <c r="BG228" s="5"/>
      <c r="BH228" s="5"/>
    </row>
    <row r="229" spans="1:60" s="2" customFormat="1">
      <c r="A229" s="70">
        <v>165</v>
      </c>
      <c r="C229" s="2" t="e">
        <f t="shared" si="99"/>
        <v>#N/A</v>
      </c>
      <c r="D229" s="2" t="e">
        <f t="shared" si="100"/>
        <v>#N/A</v>
      </c>
      <c r="F229" s="2" t="e">
        <f t="shared" si="101"/>
        <v>#N/A</v>
      </c>
      <c r="G229" s="2" t="e">
        <f t="shared" si="102"/>
        <v>#N/A</v>
      </c>
      <c r="I229" s="2" t="e">
        <f t="shared" si="103"/>
        <v>#N/A</v>
      </c>
      <c r="J229" s="2" t="e">
        <f t="shared" si="104"/>
        <v>#N/A</v>
      </c>
      <c r="L229" s="2" t="e">
        <f t="shared" si="105"/>
        <v>#N/A</v>
      </c>
      <c r="M229" s="2" t="e">
        <f t="shared" si="106"/>
        <v>#N/A</v>
      </c>
      <c r="O229" s="2" t="e">
        <f t="shared" si="107"/>
        <v>#N/A</v>
      </c>
      <c r="P229" s="2" t="e">
        <f t="shared" si="108"/>
        <v>#N/A</v>
      </c>
      <c r="R229" s="2" t="e">
        <f t="shared" si="109"/>
        <v>#N/A</v>
      </c>
      <c r="S229" s="2" t="e">
        <f t="shared" si="110"/>
        <v>#N/A</v>
      </c>
      <c r="U229" s="2" t="e">
        <f t="shared" si="111"/>
        <v>#N/A</v>
      </c>
      <c r="V229" s="2" t="e">
        <f t="shared" si="112"/>
        <v>#N/A</v>
      </c>
      <c r="X229" s="2" t="e">
        <f t="shared" si="113"/>
        <v>#N/A</v>
      </c>
      <c r="Y229" s="2" t="e">
        <f t="shared" si="114"/>
        <v>#N/A</v>
      </c>
      <c r="AA229" s="2" t="e">
        <f t="shared" si="115"/>
        <v>#N/A</v>
      </c>
      <c r="AB229" s="2" t="e">
        <f t="shared" si="116"/>
        <v>#N/A</v>
      </c>
      <c r="BB229" s="5"/>
      <c r="BC229" s="5"/>
      <c r="BD229" s="5"/>
      <c r="BE229" s="5"/>
      <c r="BF229" s="5"/>
      <c r="BG229" s="5"/>
      <c r="BH229" s="5"/>
    </row>
    <row r="230" spans="1:60" s="2" customFormat="1">
      <c r="A230" s="70">
        <v>180</v>
      </c>
      <c r="C230" s="2" t="e">
        <f t="shared" si="99"/>
        <v>#N/A</v>
      </c>
      <c r="D230" s="2" t="e">
        <f t="shared" si="100"/>
        <v>#N/A</v>
      </c>
      <c r="F230" s="2" t="e">
        <f t="shared" si="101"/>
        <v>#N/A</v>
      </c>
      <c r="G230" s="2" t="e">
        <f t="shared" si="102"/>
        <v>#N/A</v>
      </c>
      <c r="I230" s="2" t="e">
        <f t="shared" si="103"/>
        <v>#N/A</v>
      </c>
      <c r="J230" s="2" t="e">
        <f t="shared" si="104"/>
        <v>#N/A</v>
      </c>
      <c r="L230" s="2" t="e">
        <f t="shared" si="105"/>
        <v>#N/A</v>
      </c>
      <c r="M230" s="2" t="e">
        <f t="shared" si="106"/>
        <v>#N/A</v>
      </c>
      <c r="O230" s="2" t="e">
        <f t="shared" si="107"/>
        <v>#N/A</v>
      </c>
      <c r="P230" s="2" t="e">
        <f t="shared" si="108"/>
        <v>#N/A</v>
      </c>
      <c r="R230" s="2" t="e">
        <f t="shared" si="109"/>
        <v>#N/A</v>
      </c>
      <c r="S230" s="2" t="e">
        <f t="shared" si="110"/>
        <v>#N/A</v>
      </c>
      <c r="U230" s="2" t="e">
        <f t="shared" si="111"/>
        <v>#N/A</v>
      </c>
      <c r="V230" s="2" t="e">
        <f t="shared" si="112"/>
        <v>#N/A</v>
      </c>
      <c r="X230" s="2" t="e">
        <f t="shared" si="113"/>
        <v>#N/A</v>
      </c>
      <c r="Y230" s="2" t="e">
        <f t="shared" si="114"/>
        <v>#N/A</v>
      </c>
      <c r="AA230" s="2" t="e">
        <f t="shared" si="115"/>
        <v>#N/A</v>
      </c>
      <c r="AB230" s="2" t="e">
        <f t="shared" si="116"/>
        <v>#N/A</v>
      </c>
      <c r="BB230" s="5"/>
      <c r="BC230" s="5"/>
      <c r="BD230" s="5"/>
      <c r="BE230" s="5"/>
      <c r="BF230" s="5"/>
      <c r="BG230" s="5"/>
      <c r="BH230" s="5"/>
    </row>
    <row r="231" spans="1:60" s="2" customFormat="1">
      <c r="A231" s="70">
        <v>195</v>
      </c>
      <c r="C231" s="2" t="e">
        <f t="shared" si="99"/>
        <v>#N/A</v>
      </c>
      <c r="D231" s="2" t="e">
        <f t="shared" si="100"/>
        <v>#N/A</v>
      </c>
      <c r="F231" s="2" t="e">
        <f t="shared" si="101"/>
        <v>#N/A</v>
      </c>
      <c r="G231" s="2" t="e">
        <f t="shared" si="102"/>
        <v>#N/A</v>
      </c>
      <c r="I231" s="2" t="e">
        <f t="shared" si="103"/>
        <v>#N/A</v>
      </c>
      <c r="J231" s="2" t="e">
        <f t="shared" si="104"/>
        <v>#N/A</v>
      </c>
      <c r="L231" s="2" t="e">
        <f t="shared" si="105"/>
        <v>#N/A</v>
      </c>
      <c r="M231" s="2" t="e">
        <f t="shared" si="106"/>
        <v>#N/A</v>
      </c>
      <c r="O231" s="2" t="e">
        <f t="shared" si="107"/>
        <v>#N/A</v>
      </c>
      <c r="P231" s="2" t="e">
        <f t="shared" si="108"/>
        <v>#N/A</v>
      </c>
      <c r="R231" s="2" t="e">
        <f t="shared" si="109"/>
        <v>#N/A</v>
      </c>
      <c r="S231" s="2" t="e">
        <f t="shared" si="110"/>
        <v>#N/A</v>
      </c>
      <c r="U231" s="2" t="e">
        <f t="shared" si="111"/>
        <v>#N/A</v>
      </c>
      <c r="V231" s="2" t="e">
        <f t="shared" si="112"/>
        <v>#N/A</v>
      </c>
      <c r="X231" s="2" t="e">
        <f t="shared" si="113"/>
        <v>#N/A</v>
      </c>
      <c r="Y231" s="2" t="e">
        <f t="shared" si="114"/>
        <v>#N/A</v>
      </c>
      <c r="AA231" s="2" t="e">
        <f t="shared" si="115"/>
        <v>#N/A</v>
      </c>
      <c r="AB231" s="2" t="e">
        <f t="shared" si="116"/>
        <v>#N/A</v>
      </c>
      <c r="BB231" s="5"/>
      <c r="BC231" s="5"/>
      <c r="BD231" s="5"/>
      <c r="BE231" s="5"/>
      <c r="BF231" s="5"/>
      <c r="BG231" s="5"/>
      <c r="BH231" s="5"/>
    </row>
    <row r="232" spans="1:60" s="2" customFormat="1">
      <c r="A232" s="70">
        <v>210</v>
      </c>
      <c r="C232" s="2" t="e">
        <f t="shared" si="99"/>
        <v>#N/A</v>
      </c>
      <c r="D232" s="2" t="e">
        <f t="shared" si="100"/>
        <v>#N/A</v>
      </c>
      <c r="F232" s="2" t="e">
        <f t="shared" si="101"/>
        <v>#N/A</v>
      </c>
      <c r="G232" s="2" t="e">
        <f t="shared" si="102"/>
        <v>#N/A</v>
      </c>
      <c r="I232" s="2" t="e">
        <f t="shared" si="103"/>
        <v>#N/A</v>
      </c>
      <c r="J232" s="2" t="e">
        <f t="shared" si="104"/>
        <v>#N/A</v>
      </c>
      <c r="L232" s="2" t="e">
        <f t="shared" si="105"/>
        <v>#N/A</v>
      </c>
      <c r="M232" s="2" t="e">
        <f t="shared" si="106"/>
        <v>#N/A</v>
      </c>
      <c r="O232" s="2" t="e">
        <f t="shared" si="107"/>
        <v>#N/A</v>
      </c>
      <c r="P232" s="2" t="e">
        <f t="shared" si="108"/>
        <v>#N/A</v>
      </c>
      <c r="R232" s="2" t="e">
        <f t="shared" si="109"/>
        <v>#N/A</v>
      </c>
      <c r="S232" s="2" t="e">
        <f t="shared" si="110"/>
        <v>#N/A</v>
      </c>
      <c r="U232" s="2" t="e">
        <f t="shared" si="111"/>
        <v>#N/A</v>
      </c>
      <c r="V232" s="2" t="e">
        <f t="shared" si="112"/>
        <v>#N/A</v>
      </c>
      <c r="X232" s="2" t="e">
        <f t="shared" si="113"/>
        <v>#N/A</v>
      </c>
      <c r="Y232" s="2" t="e">
        <f t="shared" si="114"/>
        <v>#N/A</v>
      </c>
      <c r="AA232" s="2" t="e">
        <f t="shared" si="115"/>
        <v>#N/A</v>
      </c>
      <c r="AB232" s="2" t="e">
        <f t="shared" si="116"/>
        <v>#N/A</v>
      </c>
      <c r="BB232" s="5"/>
      <c r="BC232" s="5"/>
      <c r="BD232" s="5"/>
      <c r="BE232" s="5"/>
      <c r="BF232" s="5"/>
      <c r="BG232" s="5"/>
      <c r="BH232" s="5"/>
    </row>
    <row r="233" spans="1:60" s="2" customFormat="1">
      <c r="A233" s="70">
        <v>225</v>
      </c>
      <c r="C233" s="2" t="e">
        <f t="shared" si="99"/>
        <v>#N/A</v>
      </c>
      <c r="D233" s="2" t="e">
        <f t="shared" si="100"/>
        <v>#N/A</v>
      </c>
      <c r="F233" s="2" t="e">
        <f t="shared" si="101"/>
        <v>#N/A</v>
      </c>
      <c r="G233" s="2" t="e">
        <f t="shared" si="102"/>
        <v>#N/A</v>
      </c>
      <c r="I233" s="2" t="e">
        <f t="shared" si="103"/>
        <v>#N/A</v>
      </c>
      <c r="J233" s="2" t="e">
        <f t="shared" si="104"/>
        <v>#N/A</v>
      </c>
      <c r="L233" s="2" t="e">
        <f t="shared" si="105"/>
        <v>#N/A</v>
      </c>
      <c r="M233" s="2" t="e">
        <f t="shared" si="106"/>
        <v>#N/A</v>
      </c>
      <c r="O233" s="2" t="e">
        <f t="shared" si="107"/>
        <v>#N/A</v>
      </c>
      <c r="P233" s="2" t="e">
        <f t="shared" si="108"/>
        <v>#N/A</v>
      </c>
      <c r="R233" s="2" t="e">
        <f t="shared" si="109"/>
        <v>#N/A</v>
      </c>
      <c r="S233" s="2" t="e">
        <f t="shared" si="110"/>
        <v>#N/A</v>
      </c>
      <c r="U233" s="2" t="e">
        <f t="shared" si="111"/>
        <v>#N/A</v>
      </c>
      <c r="V233" s="2" t="e">
        <f t="shared" si="112"/>
        <v>#N/A</v>
      </c>
      <c r="X233" s="2" t="e">
        <f t="shared" si="113"/>
        <v>#N/A</v>
      </c>
      <c r="Y233" s="2" t="e">
        <f t="shared" si="114"/>
        <v>#N/A</v>
      </c>
      <c r="AA233" s="2" t="e">
        <f t="shared" si="115"/>
        <v>#N/A</v>
      </c>
      <c r="AB233" s="2" t="e">
        <f t="shared" si="116"/>
        <v>#N/A</v>
      </c>
      <c r="BB233" s="5"/>
      <c r="BC233" s="5"/>
      <c r="BD233" s="5"/>
      <c r="BE233" s="5"/>
      <c r="BF233" s="5"/>
      <c r="BG233" s="5"/>
      <c r="BH233" s="5"/>
    </row>
    <row r="234" spans="1:60" s="2" customFormat="1">
      <c r="A234" s="70">
        <v>240</v>
      </c>
      <c r="C234" s="2" t="e">
        <f t="shared" si="99"/>
        <v>#N/A</v>
      </c>
      <c r="D234" s="2" t="e">
        <f t="shared" si="100"/>
        <v>#N/A</v>
      </c>
      <c r="F234" s="2" t="e">
        <f t="shared" si="101"/>
        <v>#N/A</v>
      </c>
      <c r="G234" s="2" t="e">
        <f t="shared" si="102"/>
        <v>#N/A</v>
      </c>
      <c r="I234" s="2" t="e">
        <f t="shared" si="103"/>
        <v>#N/A</v>
      </c>
      <c r="J234" s="2" t="e">
        <f t="shared" si="104"/>
        <v>#N/A</v>
      </c>
      <c r="L234" s="2" t="e">
        <f t="shared" si="105"/>
        <v>#N/A</v>
      </c>
      <c r="M234" s="2" t="e">
        <f t="shared" si="106"/>
        <v>#N/A</v>
      </c>
      <c r="O234" s="2" t="e">
        <f t="shared" si="107"/>
        <v>#N/A</v>
      </c>
      <c r="P234" s="2" t="e">
        <f t="shared" si="108"/>
        <v>#N/A</v>
      </c>
      <c r="R234" s="2" t="e">
        <f t="shared" si="109"/>
        <v>#N/A</v>
      </c>
      <c r="S234" s="2" t="e">
        <f t="shared" si="110"/>
        <v>#N/A</v>
      </c>
      <c r="U234" s="2" t="e">
        <f t="shared" si="111"/>
        <v>#N/A</v>
      </c>
      <c r="V234" s="2" t="e">
        <f t="shared" si="112"/>
        <v>#N/A</v>
      </c>
      <c r="X234" s="2" t="e">
        <f t="shared" si="113"/>
        <v>#N/A</v>
      </c>
      <c r="Y234" s="2" t="e">
        <f t="shared" si="114"/>
        <v>#N/A</v>
      </c>
      <c r="AA234" s="2" t="e">
        <f t="shared" si="115"/>
        <v>#N/A</v>
      </c>
      <c r="AB234" s="2" t="e">
        <f t="shared" si="116"/>
        <v>#N/A</v>
      </c>
      <c r="BB234" s="5"/>
      <c r="BC234" s="5"/>
      <c r="BD234" s="5"/>
      <c r="BE234" s="5"/>
      <c r="BF234" s="5"/>
      <c r="BG234" s="5"/>
      <c r="BH234" s="5"/>
    </row>
    <row r="235" spans="1:60" s="2" customFormat="1">
      <c r="A235" s="70">
        <v>255</v>
      </c>
      <c r="C235" s="2" t="e">
        <f t="shared" si="99"/>
        <v>#N/A</v>
      </c>
      <c r="D235" s="2" t="e">
        <f t="shared" si="100"/>
        <v>#N/A</v>
      </c>
      <c r="F235" s="2" t="e">
        <f t="shared" si="101"/>
        <v>#N/A</v>
      </c>
      <c r="G235" s="2" t="e">
        <f t="shared" si="102"/>
        <v>#N/A</v>
      </c>
      <c r="I235" s="2" t="e">
        <f t="shared" si="103"/>
        <v>#N/A</v>
      </c>
      <c r="J235" s="2" t="e">
        <f t="shared" si="104"/>
        <v>#N/A</v>
      </c>
      <c r="L235" s="2" t="e">
        <f t="shared" si="105"/>
        <v>#N/A</v>
      </c>
      <c r="M235" s="2" t="e">
        <f t="shared" si="106"/>
        <v>#N/A</v>
      </c>
      <c r="O235" s="2" t="e">
        <f t="shared" si="107"/>
        <v>#N/A</v>
      </c>
      <c r="P235" s="2" t="e">
        <f t="shared" si="108"/>
        <v>#N/A</v>
      </c>
      <c r="R235" s="2" t="e">
        <f t="shared" si="109"/>
        <v>#N/A</v>
      </c>
      <c r="S235" s="2" t="e">
        <f t="shared" si="110"/>
        <v>#N/A</v>
      </c>
      <c r="U235" s="2" t="e">
        <f t="shared" si="111"/>
        <v>#N/A</v>
      </c>
      <c r="V235" s="2" t="e">
        <f t="shared" si="112"/>
        <v>#N/A</v>
      </c>
      <c r="X235" s="2" t="e">
        <f t="shared" si="113"/>
        <v>#N/A</v>
      </c>
      <c r="Y235" s="2" t="e">
        <f t="shared" si="114"/>
        <v>#N/A</v>
      </c>
      <c r="AA235" s="2" t="e">
        <f t="shared" si="115"/>
        <v>#N/A</v>
      </c>
      <c r="AB235" s="2" t="e">
        <f t="shared" si="116"/>
        <v>#N/A</v>
      </c>
      <c r="BB235" s="5"/>
      <c r="BC235" s="5"/>
      <c r="BD235" s="5"/>
      <c r="BE235" s="5"/>
      <c r="BF235" s="5"/>
      <c r="BG235" s="5"/>
      <c r="BH235" s="5"/>
    </row>
    <row r="236" spans="1:60" s="2" customFormat="1">
      <c r="A236" s="70">
        <v>270</v>
      </c>
      <c r="C236" s="2" t="e">
        <f t="shared" si="99"/>
        <v>#N/A</v>
      </c>
      <c r="D236" s="2" t="e">
        <f t="shared" si="100"/>
        <v>#N/A</v>
      </c>
      <c r="F236" s="2" t="e">
        <f t="shared" si="101"/>
        <v>#N/A</v>
      </c>
      <c r="G236" s="2" t="e">
        <f t="shared" si="102"/>
        <v>#N/A</v>
      </c>
      <c r="I236" s="2" t="e">
        <f t="shared" si="103"/>
        <v>#N/A</v>
      </c>
      <c r="J236" s="2" t="e">
        <f t="shared" si="104"/>
        <v>#N/A</v>
      </c>
      <c r="L236" s="2" t="e">
        <f t="shared" si="105"/>
        <v>#N/A</v>
      </c>
      <c r="M236" s="2" t="e">
        <f t="shared" si="106"/>
        <v>#N/A</v>
      </c>
      <c r="O236" s="2" t="e">
        <f t="shared" si="107"/>
        <v>#N/A</v>
      </c>
      <c r="P236" s="2" t="e">
        <f t="shared" si="108"/>
        <v>#N/A</v>
      </c>
      <c r="R236" s="2" t="e">
        <f t="shared" si="109"/>
        <v>#N/A</v>
      </c>
      <c r="S236" s="2" t="e">
        <f t="shared" si="110"/>
        <v>#N/A</v>
      </c>
      <c r="U236" s="2" t="e">
        <f t="shared" si="111"/>
        <v>#N/A</v>
      </c>
      <c r="V236" s="2" t="e">
        <f t="shared" si="112"/>
        <v>#N/A</v>
      </c>
      <c r="X236" s="2" t="e">
        <f t="shared" si="113"/>
        <v>#N/A</v>
      </c>
      <c r="Y236" s="2" t="e">
        <f t="shared" si="114"/>
        <v>#N/A</v>
      </c>
      <c r="AA236" s="2" t="e">
        <f t="shared" si="115"/>
        <v>#N/A</v>
      </c>
      <c r="AB236" s="2" t="e">
        <f t="shared" si="116"/>
        <v>#N/A</v>
      </c>
      <c r="BB236" s="5"/>
      <c r="BC236" s="5"/>
      <c r="BD236" s="5"/>
      <c r="BE236" s="5"/>
      <c r="BF236" s="5"/>
      <c r="BG236" s="5"/>
      <c r="BH236" s="5"/>
    </row>
    <row r="237" spans="1:60" s="2" customFormat="1">
      <c r="A237" s="70">
        <v>285</v>
      </c>
      <c r="C237" s="2" t="e">
        <f t="shared" si="99"/>
        <v>#N/A</v>
      </c>
      <c r="D237" s="2" t="e">
        <f t="shared" si="100"/>
        <v>#N/A</v>
      </c>
      <c r="F237" s="2" t="e">
        <f t="shared" si="101"/>
        <v>#N/A</v>
      </c>
      <c r="G237" s="2" t="e">
        <f t="shared" si="102"/>
        <v>#N/A</v>
      </c>
      <c r="I237" s="2" t="e">
        <f t="shared" si="103"/>
        <v>#N/A</v>
      </c>
      <c r="J237" s="2" t="e">
        <f t="shared" si="104"/>
        <v>#N/A</v>
      </c>
      <c r="L237" s="2" t="e">
        <f t="shared" si="105"/>
        <v>#N/A</v>
      </c>
      <c r="M237" s="2" t="e">
        <f t="shared" si="106"/>
        <v>#N/A</v>
      </c>
      <c r="O237" s="2" t="e">
        <f t="shared" si="107"/>
        <v>#N/A</v>
      </c>
      <c r="P237" s="2" t="e">
        <f t="shared" si="108"/>
        <v>#N/A</v>
      </c>
      <c r="R237" s="2" t="e">
        <f t="shared" si="109"/>
        <v>#N/A</v>
      </c>
      <c r="S237" s="2" t="e">
        <f t="shared" si="110"/>
        <v>#N/A</v>
      </c>
      <c r="U237" s="2" t="e">
        <f t="shared" si="111"/>
        <v>#N/A</v>
      </c>
      <c r="V237" s="2" t="e">
        <f t="shared" si="112"/>
        <v>#N/A</v>
      </c>
      <c r="X237" s="2" t="e">
        <f t="shared" si="113"/>
        <v>#N/A</v>
      </c>
      <c r="Y237" s="2" t="e">
        <f t="shared" si="114"/>
        <v>#N/A</v>
      </c>
      <c r="AA237" s="2" t="e">
        <f t="shared" si="115"/>
        <v>#N/A</v>
      </c>
      <c r="AB237" s="2" t="e">
        <f t="shared" si="116"/>
        <v>#N/A</v>
      </c>
      <c r="BB237" s="5"/>
      <c r="BC237" s="5"/>
      <c r="BD237" s="5"/>
      <c r="BE237" s="5"/>
      <c r="BF237" s="5"/>
      <c r="BG237" s="5"/>
      <c r="BH237" s="5"/>
    </row>
    <row r="238" spans="1:60" s="2" customFormat="1">
      <c r="A238" s="70">
        <v>300</v>
      </c>
      <c r="C238" s="2" t="e">
        <f t="shared" si="99"/>
        <v>#N/A</v>
      </c>
      <c r="D238" s="2" t="e">
        <f t="shared" si="100"/>
        <v>#N/A</v>
      </c>
      <c r="F238" s="2" t="e">
        <f t="shared" si="101"/>
        <v>#N/A</v>
      </c>
      <c r="G238" s="2" t="e">
        <f t="shared" si="102"/>
        <v>#N/A</v>
      </c>
      <c r="I238" s="2" t="e">
        <f t="shared" si="103"/>
        <v>#N/A</v>
      </c>
      <c r="J238" s="2" t="e">
        <f t="shared" si="104"/>
        <v>#N/A</v>
      </c>
      <c r="L238" s="2" t="e">
        <f t="shared" si="105"/>
        <v>#N/A</v>
      </c>
      <c r="M238" s="2" t="e">
        <f t="shared" si="106"/>
        <v>#N/A</v>
      </c>
      <c r="O238" s="2" t="e">
        <f t="shared" si="107"/>
        <v>#N/A</v>
      </c>
      <c r="P238" s="2" t="e">
        <f t="shared" si="108"/>
        <v>#N/A</v>
      </c>
      <c r="R238" s="2" t="e">
        <f t="shared" si="109"/>
        <v>#N/A</v>
      </c>
      <c r="S238" s="2" t="e">
        <f t="shared" si="110"/>
        <v>#N/A</v>
      </c>
      <c r="U238" s="2" t="e">
        <f t="shared" si="111"/>
        <v>#N/A</v>
      </c>
      <c r="V238" s="2" t="e">
        <f t="shared" si="112"/>
        <v>#N/A</v>
      </c>
      <c r="X238" s="2" t="e">
        <f t="shared" si="113"/>
        <v>#N/A</v>
      </c>
      <c r="Y238" s="2" t="e">
        <f t="shared" si="114"/>
        <v>#N/A</v>
      </c>
      <c r="AA238" s="2" t="e">
        <f t="shared" si="115"/>
        <v>#N/A</v>
      </c>
      <c r="AB238" s="2" t="e">
        <f t="shared" si="116"/>
        <v>#N/A</v>
      </c>
      <c r="BB238" s="5"/>
      <c r="BC238" s="5"/>
      <c r="BD238" s="5"/>
      <c r="BE238" s="5"/>
      <c r="BF238" s="5"/>
      <c r="BG238" s="5"/>
      <c r="BH238" s="5"/>
    </row>
    <row r="239" spans="1:60" s="2" customFormat="1">
      <c r="A239" s="70">
        <v>315</v>
      </c>
      <c r="C239" s="2" t="e">
        <f t="shared" si="99"/>
        <v>#N/A</v>
      </c>
      <c r="D239" s="2" t="e">
        <f t="shared" si="100"/>
        <v>#N/A</v>
      </c>
      <c r="F239" s="2" t="e">
        <f t="shared" si="101"/>
        <v>#N/A</v>
      </c>
      <c r="G239" s="2" t="e">
        <f t="shared" si="102"/>
        <v>#N/A</v>
      </c>
      <c r="I239" s="2" t="e">
        <f t="shared" si="103"/>
        <v>#N/A</v>
      </c>
      <c r="J239" s="2" t="e">
        <f t="shared" si="104"/>
        <v>#N/A</v>
      </c>
      <c r="L239" s="2" t="e">
        <f t="shared" si="105"/>
        <v>#N/A</v>
      </c>
      <c r="M239" s="2" t="e">
        <f t="shared" si="106"/>
        <v>#N/A</v>
      </c>
      <c r="O239" s="2" t="e">
        <f t="shared" si="107"/>
        <v>#N/A</v>
      </c>
      <c r="P239" s="2" t="e">
        <f t="shared" si="108"/>
        <v>#N/A</v>
      </c>
      <c r="R239" s="2" t="e">
        <f t="shared" si="109"/>
        <v>#N/A</v>
      </c>
      <c r="S239" s="2" t="e">
        <f t="shared" si="110"/>
        <v>#N/A</v>
      </c>
      <c r="U239" s="2" t="e">
        <f t="shared" si="111"/>
        <v>#N/A</v>
      </c>
      <c r="V239" s="2" t="e">
        <f t="shared" si="112"/>
        <v>#N/A</v>
      </c>
      <c r="X239" s="2" t="e">
        <f t="shared" si="113"/>
        <v>#N/A</v>
      </c>
      <c r="Y239" s="2" t="e">
        <f t="shared" si="114"/>
        <v>#N/A</v>
      </c>
      <c r="AA239" s="2" t="e">
        <f t="shared" si="115"/>
        <v>#N/A</v>
      </c>
      <c r="AB239" s="2" t="e">
        <f t="shared" si="116"/>
        <v>#N/A</v>
      </c>
      <c r="BB239" s="5"/>
      <c r="BC239" s="5"/>
      <c r="BD239" s="5"/>
      <c r="BE239" s="5"/>
      <c r="BF239" s="5"/>
      <c r="BG239" s="5"/>
      <c r="BH239" s="5"/>
    </row>
    <row r="240" spans="1:60" s="2" customFormat="1">
      <c r="A240" s="70">
        <v>330</v>
      </c>
      <c r="C240" s="2" t="e">
        <f t="shared" si="99"/>
        <v>#N/A</v>
      </c>
      <c r="D240" s="2" t="e">
        <f t="shared" si="100"/>
        <v>#N/A</v>
      </c>
      <c r="F240" s="2" t="e">
        <f t="shared" si="101"/>
        <v>#N/A</v>
      </c>
      <c r="G240" s="2" t="e">
        <f t="shared" si="102"/>
        <v>#N/A</v>
      </c>
      <c r="I240" s="2" t="e">
        <f t="shared" si="103"/>
        <v>#N/A</v>
      </c>
      <c r="J240" s="2" t="e">
        <f t="shared" si="104"/>
        <v>#N/A</v>
      </c>
      <c r="L240" s="2" t="e">
        <f t="shared" si="105"/>
        <v>#N/A</v>
      </c>
      <c r="M240" s="2" t="e">
        <f t="shared" si="106"/>
        <v>#N/A</v>
      </c>
      <c r="O240" s="2" t="e">
        <f t="shared" si="107"/>
        <v>#N/A</v>
      </c>
      <c r="P240" s="2" t="e">
        <f t="shared" si="108"/>
        <v>#N/A</v>
      </c>
      <c r="R240" s="2" t="e">
        <f t="shared" si="109"/>
        <v>#N/A</v>
      </c>
      <c r="S240" s="2" t="e">
        <f t="shared" si="110"/>
        <v>#N/A</v>
      </c>
      <c r="U240" s="2" t="e">
        <f t="shared" si="111"/>
        <v>#N/A</v>
      </c>
      <c r="V240" s="2" t="e">
        <f t="shared" si="112"/>
        <v>#N/A</v>
      </c>
      <c r="X240" s="2" t="e">
        <f t="shared" si="113"/>
        <v>#N/A</v>
      </c>
      <c r="Y240" s="2" t="e">
        <f t="shared" si="114"/>
        <v>#N/A</v>
      </c>
      <c r="AA240" s="2" t="e">
        <f t="shared" si="115"/>
        <v>#N/A</v>
      </c>
      <c r="AB240" s="2" t="e">
        <f t="shared" si="116"/>
        <v>#N/A</v>
      </c>
      <c r="BB240" s="5"/>
      <c r="BC240" s="5"/>
      <c r="BD240" s="5"/>
      <c r="BE240" s="5"/>
      <c r="BF240" s="5"/>
      <c r="BG240" s="5"/>
      <c r="BH240" s="5"/>
    </row>
    <row r="241" spans="1:60" s="2" customFormat="1">
      <c r="A241" s="70">
        <v>345</v>
      </c>
      <c r="C241" s="2" t="e">
        <f t="shared" si="99"/>
        <v>#N/A</v>
      </c>
      <c r="D241" s="2" t="e">
        <f t="shared" si="100"/>
        <v>#N/A</v>
      </c>
      <c r="F241" s="2" t="e">
        <f t="shared" si="101"/>
        <v>#N/A</v>
      </c>
      <c r="G241" s="2" t="e">
        <f t="shared" si="102"/>
        <v>#N/A</v>
      </c>
      <c r="I241" s="2" t="e">
        <f t="shared" si="103"/>
        <v>#N/A</v>
      </c>
      <c r="J241" s="2" t="e">
        <f t="shared" si="104"/>
        <v>#N/A</v>
      </c>
      <c r="L241" s="2" t="e">
        <f t="shared" si="105"/>
        <v>#N/A</v>
      </c>
      <c r="M241" s="2" t="e">
        <f t="shared" si="106"/>
        <v>#N/A</v>
      </c>
      <c r="O241" s="2" t="e">
        <f t="shared" si="107"/>
        <v>#N/A</v>
      </c>
      <c r="P241" s="2" t="e">
        <f t="shared" si="108"/>
        <v>#N/A</v>
      </c>
      <c r="R241" s="2" t="e">
        <f t="shared" si="109"/>
        <v>#N/A</v>
      </c>
      <c r="S241" s="2" t="e">
        <f t="shared" si="110"/>
        <v>#N/A</v>
      </c>
      <c r="U241" s="2" t="e">
        <f t="shared" si="111"/>
        <v>#N/A</v>
      </c>
      <c r="V241" s="2" t="e">
        <f t="shared" si="112"/>
        <v>#N/A</v>
      </c>
      <c r="X241" s="2" t="e">
        <f t="shared" si="113"/>
        <v>#N/A</v>
      </c>
      <c r="Y241" s="2" t="e">
        <f t="shared" si="114"/>
        <v>#N/A</v>
      </c>
      <c r="AA241" s="2" t="e">
        <f t="shared" si="115"/>
        <v>#N/A</v>
      </c>
      <c r="AB241" s="2" t="e">
        <f t="shared" si="116"/>
        <v>#N/A</v>
      </c>
      <c r="BB241" s="5"/>
      <c r="BC241" s="5"/>
      <c r="BD241" s="5"/>
      <c r="BE241" s="5"/>
      <c r="BF241" s="5"/>
      <c r="BG241" s="5"/>
      <c r="BH241" s="5"/>
    </row>
    <row r="242" spans="1:60" s="2" customFormat="1">
      <c r="A242" s="70">
        <v>360</v>
      </c>
      <c r="C242" s="2" t="e">
        <f t="shared" si="99"/>
        <v>#N/A</v>
      </c>
      <c r="D242" s="2" t="e">
        <f t="shared" si="100"/>
        <v>#N/A</v>
      </c>
      <c r="F242" s="2" t="e">
        <f t="shared" si="101"/>
        <v>#N/A</v>
      </c>
      <c r="G242" s="2" t="e">
        <f t="shared" si="102"/>
        <v>#N/A</v>
      </c>
      <c r="I242" s="2" t="e">
        <f t="shared" si="103"/>
        <v>#N/A</v>
      </c>
      <c r="J242" s="2" t="e">
        <f t="shared" si="104"/>
        <v>#N/A</v>
      </c>
      <c r="L242" s="2" t="e">
        <f t="shared" si="105"/>
        <v>#N/A</v>
      </c>
      <c r="M242" s="2" t="e">
        <f t="shared" si="106"/>
        <v>#N/A</v>
      </c>
      <c r="O242" s="2" t="e">
        <f t="shared" si="107"/>
        <v>#N/A</v>
      </c>
      <c r="P242" s="2" t="e">
        <f t="shared" si="108"/>
        <v>#N/A</v>
      </c>
      <c r="R242" s="2" t="e">
        <f t="shared" si="109"/>
        <v>#N/A</v>
      </c>
      <c r="S242" s="2" t="e">
        <f t="shared" si="110"/>
        <v>#N/A</v>
      </c>
      <c r="U242" s="2" t="e">
        <f t="shared" si="111"/>
        <v>#N/A</v>
      </c>
      <c r="V242" s="2" t="e">
        <f t="shared" si="112"/>
        <v>#N/A</v>
      </c>
      <c r="X242" s="2" t="e">
        <f t="shared" si="113"/>
        <v>#N/A</v>
      </c>
      <c r="Y242" s="2" t="e">
        <f t="shared" si="114"/>
        <v>#N/A</v>
      </c>
      <c r="AA242" s="2" t="e">
        <f t="shared" si="115"/>
        <v>#N/A</v>
      </c>
      <c r="AB242" s="2" t="e">
        <f t="shared" si="116"/>
        <v>#N/A</v>
      </c>
      <c r="BB242" s="5"/>
      <c r="BC242" s="5"/>
      <c r="BD242" s="5"/>
      <c r="BE242" s="5"/>
      <c r="BF242" s="5"/>
      <c r="BG242" s="5"/>
      <c r="BH242" s="5"/>
    </row>
    <row r="243" spans="1:60" s="2" customFormat="1">
      <c r="A243" s="70"/>
      <c r="BB243" s="5"/>
      <c r="BC243" s="5"/>
      <c r="BD243" s="5"/>
      <c r="BE243" s="5"/>
      <c r="BF243" s="5"/>
      <c r="BG243" s="5"/>
      <c r="BH243" s="5"/>
    </row>
    <row r="244" spans="1:60" s="2" customFormat="1">
      <c r="A244" s="70">
        <v>0</v>
      </c>
      <c r="B244" s="2">
        <v>6</v>
      </c>
      <c r="C244" s="2" t="e">
        <f t="shared" ref="C244:C268" si="117">IF(AND(AG$3,C$566&gt;0),E$17*COS($A244*PI()/180)+C$566,NA())</f>
        <v>#N/A</v>
      </c>
      <c r="D244" s="2" t="e">
        <f t="shared" ref="D244:D268" si="118">IF(AND(AG$3,C$566&gt;0),E$17*SIN($A244*PI()/180)+E$14,NA())</f>
        <v>#N/A</v>
      </c>
      <c r="F244" s="2" t="e">
        <f t="shared" ref="F244:F268" si="119">IF(AND(AH$3,F$566&gt;0),H$17*COS($A244*PI()/180)+F$566,NA())</f>
        <v>#N/A</v>
      </c>
      <c r="G244" s="2" t="e">
        <f t="shared" ref="G244:G268" si="120">IF(AND(AH$3,F$566&gt;0),H$17*SIN($A244*PI()/180)+H$14,NA())</f>
        <v>#N/A</v>
      </c>
      <c r="I244" s="2" t="e">
        <f t="shared" ref="I244:I268" si="121">IF(AND(AI$3,I$566&gt;0),K$17*COS($A244*PI()/180)+I$566,NA())</f>
        <v>#N/A</v>
      </c>
      <c r="J244" s="2" t="e">
        <f t="shared" ref="J244:J268" si="122">IF(AND(AI$3,I$566&gt;0),K$17*SIN($A244*PI()/180)+K$14,NA())</f>
        <v>#N/A</v>
      </c>
      <c r="L244" s="2" t="e">
        <f t="shared" ref="L244:L268" si="123">IF(AND(AJ$3,L$566&gt;0),N$17*COS($A244*PI()/180)+L$566,NA())</f>
        <v>#N/A</v>
      </c>
      <c r="M244" s="2" t="e">
        <f t="shared" ref="M244:M268" si="124">IF(AND(AJ$3,L$566&gt;0),N$17*SIN($A244*PI()/180)+N$14,NA())</f>
        <v>#N/A</v>
      </c>
      <c r="O244" s="2" t="e">
        <f t="shared" ref="O244:O268" si="125">IF(AND(AK$3,O$566&gt;0),Q$17*COS($A244*PI()/180)+O$566,NA())</f>
        <v>#N/A</v>
      </c>
      <c r="P244" s="2" t="e">
        <f t="shared" ref="P244:P268" si="126">IF(AND(AK$3,O$566&gt;0),Q$17*SIN($A244*PI()/180)+Q$14,NA())</f>
        <v>#N/A</v>
      </c>
      <c r="R244" s="2" t="e">
        <f t="shared" ref="R244:R268" si="127">IF(AND(AL$3,R$566&gt;0),T$17*COS($A244*PI()/180)+R$566,NA())</f>
        <v>#N/A</v>
      </c>
      <c r="S244" s="2" t="e">
        <f t="shared" ref="S244:S268" si="128">IF(AND(AL$3,R$566&gt;0),T$17*SIN($A244*PI()/180)+T$14,NA())</f>
        <v>#N/A</v>
      </c>
      <c r="U244" s="2" t="e">
        <f t="shared" ref="U244:U268" si="129">IF(AND(AM$3,U$566&gt;0),W$17*COS($A244*PI()/180)+U$566,NA())</f>
        <v>#N/A</v>
      </c>
      <c r="V244" s="2" t="e">
        <f t="shared" ref="V244:V268" si="130">IF(AND(AM$3,U$566&gt;0),W$17*SIN($A244*PI()/180)+W$14,NA())</f>
        <v>#N/A</v>
      </c>
      <c r="X244" s="2" t="e">
        <f t="shared" ref="X244:X268" si="131">IF(AND(AN$3,X$566&gt;0),Z$17*COS($A244*PI()/180)+X$566,NA())</f>
        <v>#N/A</v>
      </c>
      <c r="Y244" s="2" t="e">
        <f t="shared" ref="Y244:Y268" si="132">IF(AND(AN$3,X$566&gt;0),Z$17*SIN($A244*PI()/180)+Z$14,NA())</f>
        <v>#N/A</v>
      </c>
      <c r="AA244" s="2" t="e">
        <f t="shared" ref="AA244:AA268" si="133">IF(AND(AO$3,AA$566&gt;0),AC$17*COS($A244*PI()/180)+AA$566,NA())</f>
        <v>#N/A</v>
      </c>
      <c r="AB244" s="2" t="e">
        <f t="shared" ref="AB244:AB268" si="134">IF(AND(AO$3,AA$566&gt;0),AC$17*SIN($A244*PI()/180)+AC$14,NA())</f>
        <v>#N/A</v>
      </c>
      <c r="BB244" s="5"/>
      <c r="BC244" s="5"/>
      <c r="BD244" s="5"/>
      <c r="BE244" s="5"/>
      <c r="BF244" s="5"/>
      <c r="BG244" s="5"/>
      <c r="BH244" s="5"/>
    </row>
    <row r="245" spans="1:60" s="2" customFormat="1">
      <c r="A245" s="70">
        <v>15</v>
      </c>
      <c r="C245" s="2" t="e">
        <f t="shared" si="117"/>
        <v>#N/A</v>
      </c>
      <c r="D245" s="2" t="e">
        <f t="shared" si="118"/>
        <v>#N/A</v>
      </c>
      <c r="F245" s="2" t="e">
        <f t="shared" si="119"/>
        <v>#N/A</v>
      </c>
      <c r="G245" s="2" t="e">
        <f t="shared" si="120"/>
        <v>#N/A</v>
      </c>
      <c r="I245" s="2" t="e">
        <f t="shared" si="121"/>
        <v>#N/A</v>
      </c>
      <c r="J245" s="2" t="e">
        <f t="shared" si="122"/>
        <v>#N/A</v>
      </c>
      <c r="L245" s="2" t="e">
        <f t="shared" si="123"/>
        <v>#N/A</v>
      </c>
      <c r="M245" s="2" t="e">
        <f t="shared" si="124"/>
        <v>#N/A</v>
      </c>
      <c r="O245" s="2" t="e">
        <f t="shared" si="125"/>
        <v>#N/A</v>
      </c>
      <c r="P245" s="2" t="e">
        <f t="shared" si="126"/>
        <v>#N/A</v>
      </c>
      <c r="R245" s="2" t="e">
        <f t="shared" si="127"/>
        <v>#N/A</v>
      </c>
      <c r="S245" s="2" t="e">
        <f t="shared" si="128"/>
        <v>#N/A</v>
      </c>
      <c r="U245" s="2" t="e">
        <f t="shared" si="129"/>
        <v>#N/A</v>
      </c>
      <c r="V245" s="2" t="e">
        <f t="shared" si="130"/>
        <v>#N/A</v>
      </c>
      <c r="X245" s="2" t="e">
        <f t="shared" si="131"/>
        <v>#N/A</v>
      </c>
      <c r="Y245" s="2" t="e">
        <f t="shared" si="132"/>
        <v>#N/A</v>
      </c>
      <c r="AA245" s="2" t="e">
        <f t="shared" si="133"/>
        <v>#N/A</v>
      </c>
      <c r="AB245" s="2" t="e">
        <f t="shared" si="134"/>
        <v>#N/A</v>
      </c>
      <c r="BB245" s="5"/>
      <c r="BC245" s="5"/>
      <c r="BD245" s="5"/>
      <c r="BE245" s="5"/>
      <c r="BF245" s="5"/>
      <c r="BG245" s="5"/>
      <c r="BH245" s="5"/>
    </row>
    <row r="246" spans="1:60" s="2" customFormat="1">
      <c r="A246" s="70">
        <v>30</v>
      </c>
      <c r="C246" s="2" t="e">
        <f t="shared" si="117"/>
        <v>#N/A</v>
      </c>
      <c r="D246" s="2" t="e">
        <f t="shared" si="118"/>
        <v>#N/A</v>
      </c>
      <c r="F246" s="2" t="e">
        <f t="shared" si="119"/>
        <v>#N/A</v>
      </c>
      <c r="G246" s="2" t="e">
        <f t="shared" si="120"/>
        <v>#N/A</v>
      </c>
      <c r="I246" s="2" t="e">
        <f t="shared" si="121"/>
        <v>#N/A</v>
      </c>
      <c r="J246" s="2" t="e">
        <f t="shared" si="122"/>
        <v>#N/A</v>
      </c>
      <c r="L246" s="2" t="e">
        <f t="shared" si="123"/>
        <v>#N/A</v>
      </c>
      <c r="M246" s="2" t="e">
        <f t="shared" si="124"/>
        <v>#N/A</v>
      </c>
      <c r="O246" s="2" t="e">
        <f t="shared" si="125"/>
        <v>#N/A</v>
      </c>
      <c r="P246" s="2" t="e">
        <f t="shared" si="126"/>
        <v>#N/A</v>
      </c>
      <c r="R246" s="2" t="e">
        <f t="shared" si="127"/>
        <v>#N/A</v>
      </c>
      <c r="S246" s="2" t="e">
        <f t="shared" si="128"/>
        <v>#N/A</v>
      </c>
      <c r="U246" s="2" t="e">
        <f t="shared" si="129"/>
        <v>#N/A</v>
      </c>
      <c r="V246" s="2" t="e">
        <f t="shared" si="130"/>
        <v>#N/A</v>
      </c>
      <c r="X246" s="2" t="e">
        <f t="shared" si="131"/>
        <v>#N/A</v>
      </c>
      <c r="Y246" s="2" t="e">
        <f t="shared" si="132"/>
        <v>#N/A</v>
      </c>
      <c r="AA246" s="2" t="e">
        <f t="shared" si="133"/>
        <v>#N/A</v>
      </c>
      <c r="AB246" s="2" t="e">
        <f t="shared" si="134"/>
        <v>#N/A</v>
      </c>
      <c r="BB246" s="5"/>
      <c r="BC246" s="5"/>
      <c r="BD246" s="5"/>
      <c r="BE246" s="5"/>
      <c r="BF246" s="5"/>
      <c r="BG246" s="5"/>
      <c r="BH246" s="5"/>
    </row>
    <row r="247" spans="1:60" s="2" customFormat="1">
      <c r="A247" s="70">
        <v>45</v>
      </c>
      <c r="C247" s="2" t="e">
        <f t="shared" si="117"/>
        <v>#N/A</v>
      </c>
      <c r="D247" s="2" t="e">
        <f t="shared" si="118"/>
        <v>#N/A</v>
      </c>
      <c r="F247" s="2" t="e">
        <f t="shared" si="119"/>
        <v>#N/A</v>
      </c>
      <c r="G247" s="2" t="e">
        <f t="shared" si="120"/>
        <v>#N/A</v>
      </c>
      <c r="I247" s="2" t="e">
        <f t="shared" si="121"/>
        <v>#N/A</v>
      </c>
      <c r="J247" s="2" t="e">
        <f t="shared" si="122"/>
        <v>#N/A</v>
      </c>
      <c r="L247" s="2" t="e">
        <f t="shared" si="123"/>
        <v>#N/A</v>
      </c>
      <c r="M247" s="2" t="e">
        <f t="shared" si="124"/>
        <v>#N/A</v>
      </c>
      <c r="O247" s="2" t="e">
        <f t="shared" si="125"/>
        <v>#N/A</v>
      </c>
      <c r="P247" s="2" t="e">
        <f t="shared" si="126"/>
        <v>#N/A</v>
      </c>
      <c r="R247" s="2" t="e">
        <f t="shared" si="127"/>
        <v>#N/A</v>
      </c>
      <c r="S247" s="2" t="e">
        <f t="shared" si="128"/>
        <v>#N/A</v>
      </c>
      <c r="U247" s="2" t="e">
        <f t="shared" si="129"/>
        <v>#N/A</v>
      </c>
      <c r="V247" s="2" t="e">
        <f t="shared" si="130"/>
        <v>#N/A</v>
      </c>
      <c r="X247" s="2" t="e">
        <f t="shared" si="131"/>
        <v>#N/A</v>
      </c>
      <c r="Y247" s="2" t="e">
        <f t="shared" si="132"/>
        <v>#N/A</v>
      </c>
      <c r="AA247" s="2" t="e">
        <f t="shared" si="133"/>
        <v>#N/A</v>
      </c>
      <c r="AB247" s="2" t="e">
        <f t="shared" si="134"/>
        <v>#N/A</v>
      </c>
      <c r="BB247" s="5"/>
      <c r="BC247" s="5"/>
      <c r="BD247" s="5"/>
      <c r="BE247" s="5"/>
      <c r="BF247" s="5"/>
      <c r="BG247" s="5"/>
      <c r="BH247" s="5"/>
    </row>
    <row r="248" spans="1:60" s="2" customFormat="1">
      <c r="A248" s="70">
        <v>60</v>
      </c>
      <c r="C248" s="2" t="e">
        <f t="shared" si="117"/>
        <v>#N/A</v>
      </c>
      <c r="D248" s="2" t="e">
        <f t="shared" si="118"/>
        <v>#N/A</v>
      </c>
      <c r="F248" s="2" t="e">
        <f t="shared" si="119"/>
        <v>#N/A</v>
      </c>
      <c r="G248" s="2" t="e">
        <f t="shared" si="120"/>
        <v>#N/A</v>
      </c>
      <c r="I248" s="2" t="e">
        <f t="shared" si="121"/>
        <v>#N/A</v>
      </c>
      <c r="J248" s="2" t="e">
        <f t="shared" si="122"/>
        <v>#N/A</v>
      </c>
      <c r="L248" s="2" t="e">
        <f t="shared" si="123"/>
        <v>#N/A</v>
      </c>
      <c r="M248" s="2" t="e">
        <f t="shared" si="124"/>
        <v>#N/A</v>
      </c>
      <c r="O248" s="2" t="e">
        <f t="shared" si="125"/>
        <v>#N/A</v>
      </c>
      <c r="P248" s="2" t="e">
        <f t="shared" si="126"/>
        <v>#N/A</v>
      </c>
      <c r="R248" s="2" t="e">
        <f t="shared" si="127"/>
        <v>#N/A</v>
      </c>
      <c r="S248" s="2" t="e">
        <f t="shared" si="128"/>
        <v>#N/A</v>
      </c>
      <c r="U248" s="2" t="e">
        <f t="shared" si="129"/>
        <v>#N/A</v>
      </c>
      <c r="V248" s="2" t="e">
        <f t="shared" si="130"/>
        <v>#N/A</v>
      </c>
      <c r="X248" s="2" t="e">
        <f t="shared" si="131"/>
        <v>#N/A</v>
      </c>
      <c r="Y248" s="2" t="e">
        <f t="shared" si="132"/>
        <v>#N/A</v>
      </c>
      <c r="AA248" s="2" t="e">
        <f t="shared" si="133"/>
        <v>#N/A</v>
      </c>
      <c r="AB248" s="2" t="e">
        <f t="shared" si="134"/>
        <v>#N/A</v>
      </c>
      <c r="BB248" s="5"/>
      <c r="BC248" s="5"/>
      <c r="BD248" s="5"/>
      <c r="BE248" s="5"/>
      <c r="BF248" s="5"/>
      <c r="BG248" s="5"/>
      <c r="BH248" s="5"/>
    </row>
    <row r="249" spans="1:60" s="2" customFormat="1">
      <c r="A249" s="70">
        <v>75</v>
      </c>
      <c r="C249" s="2" t="e">
        <f t="shared" si="117"/>
        <v>#N/A</v>
      </c>
      <c r="D249" s="2" t="e">
        <f t="shared" si="118"/>
        <v>#N/A</v>
      </c>
      <c r="F249" s="2" t="e">
        <f t="shared" si="119"/>
        <v>#N/A</v>
      </c>
      <c r="G249" s="2" t="e">
        <f t="shared" si="120"/>
        <v>#N/A</v>
      </c>
      <c r="I249" s="2" t="e">
        <f t="shared" si="121"/>
        <v>#N/A</v>
      </c>
      <c r="J249" s="2" t="e">
        <f t="shared" si="122"/>
        <v>#N/A</v>
      </c>
      <c r="L249" s="2" t="e">
        <f t="shared" si="123"/>
        <v>#N/A</v>
      </c>
      <c r="M249" s="2" t="e">
        <f t="shared" si="124"/>
        <v>#N/A</v>
      </c>
      <c r="O249" s="2" t="e">
        <f t="shared" si="125"/>
        <v>#N/A</v>
      </c>
      <c r="P249" s="2" t="e">
        <f t="shared" si="126"/>
        <v>#N/A</v>
      </c>
      <c r="R249" s="2" t="e">
        <f t="shared" si="127"/>
        <v>#N/A</v>
      </c>
      <c r="S249" s="2" t="e">
        <f t="shared" si="128"/>
        <v>#N/A</v>
      </c>
      <c r="U249" s="2" t="e">
        <f t="shared" si="129"/>
        <v>#N/A</v>
      </c>
      <c r="V249" s="2" t="e">
        <f t="shared" si="130"/>
        <v>#N/A</v>
      </c>
      <c r="X249" s="2" t="e">
        <f t="shared" si="131"/>
        <v>#N/A</v>
      </c>
      <c r="Y249" s="2" t="e">
        <f t="shared" si="132"/>
        <v>#N/A</v>
      </c>
      <c r="AA249" s="2" t="e">
        <f t="shared" si="133"/>
        <v>#N/A</v>
      </c>
      <c r="AB249" s="2" t="e">
        <f t="shared" si="134"/>
        <v>#N/A</v>
      </c>
      <c r="BB249" s="5"/>
      <c r="BC249" s="5"/>
      <c r="BD249" s="5"/>
      <c r="BE249" s="5"/>
      <c r="BF249" s="5"/>
      <c r="BG249" s="5"/>
      <c r="BH249" s="5"/>
    </row>
    <row r="250" spans="1:60" s="2" customFormat="1">
      <c r="A250" s="70">
        <v>90</v>
      </c>
      <c r="C250" s="2" t="e">
        <f t="shared" si="117"/>
        <v>#N/A</v>
      </c>
      <c r="D250" s="2" t="e">
        <f t="shared" si="118"/>
        <v>#N/A</v>
      </c>
      <c r="F250" s="2" t="e">
        <f t="shared" si="119"/>
        <v>#N/A</v>
      </c>
      <c r="G250" s="2" t="e">
        <f t="shared" si="120"/>
        <v>#N/A</v>
      </c>
      <c r="I250" s="2" t="e">
        <f t="shared" si="121"/>
        <v>#N/A</v>
      </c>
      <c r="J250" s="2" t="e">
        <f t="shared" si="122"/>
        <v>#N/A</v>
      </c>
      <c r="L250" s="2" t="e">
        <f t="shared" si="123"/>
        <v>#N/A</v>
      </c>
      <c r="M250" s="2" t="e">
        <f t="shared" si="124"/>
        <v>#N/A</v>
      </c>
      <c r="O250" s="2" t="e">
        <f t="shared" si="125"/>
        <v>#N/A</v>
      </c>
      <c r="P250" s="2" t="e">
        <f t="shared" si="126"/>
        <v>#N/A</v>
      </c>
      <c r="R250" s="2" t="e">
        <f t="shared" si="127"/>
        <v>#N/A</v>
      </c>
      <c r="S250" s="2" t="e">
        <f t="shared" si="128"/>
        <v>#N/A</v>
      </c>
      <c r="U250" s="2" t="e">
        <f t="shared" si="129"/>
        <v>#N/A</v>
      </c>
      <c r="V250" s="2" t="e">
        <f t="shared" si="130"/>
        <v>#N/A</v>
      </c>
      <c r="X250" s="2" t="e">
        <f t="shared" si="131"/>
        <v>#N/A</v>
      </c>
      <c r="Y250" s="2" t="e">
        <f t="shared" si="132"/>
        <v>#N/A</v>
      </c>
      <c r="AA250" s="2" t="e">
        <f t="shared" si="133"/>
        <v>#N/A</v>
      </c>
      <c r="AB250" s="2" t="e">
        <f t="shared" si="134"/>
        <v>#N/A</v>
      </c>
      <c r="BB250" s="5"/>
      <c r="BC250" s="5"/>
      <c r="BD250" s="5"/>
      <c r="BE250" s="5"/>
      <c r="BF250" s="5"/>
      <c r="BG250" s="5"/>
      <c r="BH250" s="5"/>
    </row>
    <row r="251" spans="1:60" s="2" customFormat="1">
      <c r="A251" s="70">
        <v>105</v>
      </c>
      <c r="C251" s="2" t="e">
        <f t="shared" si="117"/>
        <v>#N/A</v>
      </c>
      <c r="D251" s="2" t="e">
        <f t="shared" si="118"/>
        <v>#N/A</v>
      </c>
      <c r="F251" s="2" t="e">
        <f t="shared" si="119"/>
        <v>#N/A</v>
      </c>
      <c r="G251" s="2" t="e">
        <f t="shared" si="120"/>
        <v>#N/A</v>
      </c>
      <c r="I251" s="2" t="e">
        <f t="shared" si="121"/>
        <v>#N/A</v>
      </c>
      <c r="J251" s="2" t="e">
        <f t="shared" si="122"/>
        <v>#N/A</v>
      </c>
      <c r="L251" s="2" t="e">
        <f t="shared" si="123"/>
        <v>#N/A</v>
      </c>
      <c r="M251" s="2" t="e">
        <f t="shared" si="124"/>
        <v>#N/A</v>
      </c>
      <c r="O251" s="2" t="e">
        <f t="shared" si="125"/>
        <v>#N/A</v>
      </c>
      <c r="P251" s="2" t="e">
        <f t="shared" si="126"/>
        <v>#N/A</v>
      </c>
      <c r="R251" s="2" t="e">
        <f t="shared" si="127"/>
        <v>#N/A</v>
      </c>
      <c r="S251" s="2" t="e">
        <f t="shared" si="128"/>
        <v>#N/A</v>
      </c>
      <c r="U251" s="2" t="e">
        <f t="shared" si="129"/>
        <v>#N/A</v>
      </c>
      <c r="V251" s="2" t="e">
        <f t="shared" si="130"/>
        <v>#N/A</v>
      </c>
      <c r="X251" s="2" t="e">
        <f t="shared" si="131"/>
        <v>#N/A</v>
      </c>
      <c r="Y251" s="2" t="e">
        <f t="shared" si="132"/>
        <v>#N/A</v>
      </c>
      <c r="AA251" s="2" t="e">
        <f t="shared" si="133"/>
        <v>#N/A</v>
      </c>
      <c r="AB251" s="2" t="e">
        <f t="shared" si="134"/>
        <v>#N/A</v>
      </c>
      <c r="BB251" s="5"/>
      <c r="BC251" s="5"/>
      <c r="BD251" s="5"/>
      <c r="BE251" s="5"/>
      <c r="BF251" s="5"/>
      <c r="BG251" s="5"/>
      <c r="BH251" s="5"/>
    </row>
    <row r="252" spans="1:60" s="2" customFormat="1">
      <c r="A252" s="70">
        <v>120</v>
      </c>
      <c r="C252" s="2" t="e">
        <f t="shared" si="117"/>
        <v>#N/A</v>
      </c>
      <c r="D252" s="2" t="e">
        <f t="shared" si="118"/>
        <v>#N/A</v>
      </c>
      <c r="F252" s="2" t="e">
        <f t="shared" si="119"/>
        <v>#N/A</v>
      </c>
      <c r="G252" s="2" t="e">
        <f t="shared" si="120"/>
        <v>#N/A</v>
      </c>
      <c r="I252" s="2" t="e">
        <f t="shared" si="121"/>
        <v>#N/A</v>
      </c>
      <c r="J252" s="2" t="e">
        <f t="shared" si="122"/>
        <v>#N/A</v>
      </c>
      <c r="L252" s="2" t="e">
        <f t="shared" si="123"/>
        <v>#N/A</v>
      </c>
      <c r="M252" s="2" t="e">
        <f t="shared" si="124"/>
        <v>#N/A</v>
      </c>
      <c r="O252" s="2" t="e">
        <f t="shared" si="125"/>
        <v>#N/A</v>
      </c>
      <c r="P252" s="2" t="e">
        <f t="shared" si="126"/>
        <v>#N/A</v>
      </c>
      <c r="R252" s="2" t="e">
        <f t="shared" si="127"/>
        <v>#N/A</v>
      </c>
      <c r="S252" s="2" t="e">
        <f t="shared" si="128"/>
        <v>#N/A</v>
      </c>
      <c r="U252" s="2" t="e">
        <f t="shared" si="129"/>
        <v>#N/A</v>
      </c>
      <c r="V252" s="2" t="e">
        <f t="shared" si="130"/>
        <v>#N/A</v>
      </c>
      <c r="X252" s="2" t="e">
        <f t="shared" si="131"/>
        <v>#N/A</v>
      </c>
      <c r="Y252" s="2" t="e">
        <f t="shared" si="132"/>
        <v>#N/A</v>
      </c>
      <c r="AA252" s="2" t="e">
        <f t="shared" si="133"/>
        <v>#N/A</v>
      </c>
      <c r="AB252" s="2" t="e">
        <f t="shared" si="134"/>
        <v>#N/A</v>
      </c>
      <c r="BB252" s="5"/>
      <c r="BC252" s="5"/>
      <c r="BD252" s="5"/>
      <c r="BE252" s="5"/>
      <c r="BF252" s="5"/>
      <c r="BG252" s="5"/>
      <c r="BH252" s="5"/>
    </row>
    <row r="253" spans="1:60" s="2" customFormat="1">
      <c r="A253" s="70">
        <v>135</v>
      </c>
      <c r="C253" s="2" t="e">
        <f t="shared" si="117"/>
        <v>#N/A</v>
      </c>
      <c r="D253" s="2" t="e">
        <f t="shared" si="118"/>
        <v>#N/A</v>
      </c>
      <c r="F253" s="2" t="e">
        <f t="shared" si="119"/>
        <v>#N/A</v>
      </c>
      <c r="G253" s="2" t="e">
        <f t="shared" si="120"/>
        <v>#N/A</v>
      </c>
      <c r="I253" s="2" t="e">
        <f t="shared" si="121"/>
        <v>#N/A</v>
      </c>
      <c r="J253" s="2" t="e">
        <f t="shared" si="122"/>
        <v>#N/A</v>
      </c>
      <c r="L253" s="2" t="e">
        <f t="shared" si="123"/>
        <v>#N/A</v>
      </c>
      <c r="M253" s="2" t="e">
        <f t="shared" si="124"/>
        <v>#N/A</v>
      </c>
      <c r="O253" s="2" t="e">
        <f t="shared" si="125"/>
        <v>#N/A</v>
      </c>
      <c r="P253" s="2" t="e">
        <f t="shared" si="126"/>
        <v>#N/A</v>
      </c>
      <c r="R253" s="2" t="e">
        <f t="shared" si="127"/>
        <v>#N/A</v>
      </c>
      <c r="S253" s="2" t="e">
        <f t="shared" si="128"/>
        <v>#N/A</v>
      </c>
      <c r="U253" s="2" t="e">
        <f t="shared" si="129"/>
        <v>#N/A</v>
      </c>
      <c r="V253" s="2" t="e">
        <f t="shared" si="130"/>
        <v>#N/A</v>
      </c>
      <c r="X253" s="2" t="e">
        <f t="shared" si="131"/>
        <v>#N/A</v>
      </c>
      <c r="Y253" s="2" t="e">
        <f t="shared" si="132"/>
        <v>#N/A</v>
      </c>
      <c r="AA253" s="2" t="e">
        <f t="shared" si="133"/>
        <v>#N/A</v>
      </c>
      <c r="AB253" s="2" t="e">
        <f t="shared" si="134"/>
        <v>#N/A</v>
      </c>
      <c r="BB253" s="5"/>
      <c r="BC253" s="5"/>
      <c r="BD253" s="5"/>
      <c r="BE253" s="5"/>
      <c r="BF253" s="5"/>
      <c r="BG253" s="5"/>
      <c r="BH253" s="5"/>
    </row>
    <row r="254" spans="1:60" s="2" customFormat="1">
      <c r="A254" s="70">
        <v>150</v>
      </c>
      <c r="C254" s="2" t="e">
        <f t="shared" si="117"/>
        <v>#N/A</v>
      </c>
      <c r="D254" s="2" t="e">
        <f t="shared" si="118"/>
        <v>#N/A</v>
      </c>
      <c r="F254" s="2" t="e">
        <f t="shared" si="119"/>
        <v>#N/A</v>
      </c>
      <c r="G254" s="2" t="e">
        <f t="shared" si="120"/>
        <v>#N/A</v>
      </c>
      <c r="I254" s="2" t="e">
        <f t="shared" si="121"/>
        <v>#N/A</v>
      </c>
      <c r="J254" s="2" t="e">
        <f t="shared" si="122"/>
        <v>#N/A</v>
      </c>
      <c r="L254" s="2" t="e">
        <f t="shared" si="123"/>
        <v>#N/A</v>
      </c>
      <c r="M254" s="2" t="e">
        <f t="shared" si="124"/>
        <v>#N/A</v>
      </c>
      <c r="O254" s="2" t="e">
        <f t="shared" si="125"/>
        <v>#N/A</v>
      </c>
      <c r="P254" s="2" t="e">
        <f t="shared" si="126"/>
        <v>#N/A</v>
      </c>
      <c r="R254" s="2" t="e">
        <f t="shared" si="127"/>
        <v>#N/A</v>
      </c>
      <c r="S254" s="2" t="e">
        <f t="shared" si="128"/>
        <v>#N/A</v>
      </c>
      <c r="U254" s="2" t="e">
        <f t="shared" si="129"/>
        <v>#N/A</v>
      </c>
      <c r="V254" s="2" t="e">
        <f t="shared" si="130"/>
        <v>#N/A</v>
      </c>
      <c r="X254" s="2" t="e">
        <f t="shared" si="131"/>
        <v>#N/A</v>
      </c>
      <c r="Y254" s="2" t="e">
        <f t="shared" si="132"/>
        <v>#N/A</v>
      </c>
      <c r="AA254" s="2" t="e">
        <f t="shared" si="133"/>
        <v>#N/A</v>
      </c>
      <c r="AB254" s="2" t="e">
        <f t="shared" si="134"/>
        <v>#N/A</v>
      </c>
      <c r="BB254" s="5"/>
      <c r="BC254" s="5"/>
      <c r="BD254" s="5"/>
      <c r="BE254" s="5"/>
      <c r="BF254" s="5"/>
      <c r="BG254" s="5"/>
      <c r="BH254" s="5"/>
    </row>
    <row r="255" spans="1:60" s="2" customFormat="1">
      <c r="A255" s="70">
        <v>165</v>
      </c>
      <c r="C255" s="2" t="e">
        <f t="shared" si="117"/>
        <v>#N/A</v>
      </c>
      <c r="D255" s="2" t="e">
        <f t="shared" si="118"/>
        <v>#N/A</v>
      </c>
      <c r="F255" s="2" t="e">
        <f t="shared" si="119"/>
        <v>#N/A</v>
      </c>
      <c r="G255" s="2" t="e">
        <f t="shared" si="120"/>
        <v>#N/A</v>
      </c>
      <c r="I255" s="2" t="e">
        <f t="shared" si="121"/>
        <v>#N/A</v>
      </c>
      <c r="J255" s="2" t="e">
        <f t="shared" si="122"/>
        <v>#N/A</v>
      </c>
      <c r="L255" s="2" t="e">
        <f t="shared" si="123"/>
        <v>#N/A</v>
      </c>
      <c r="M255" s="2" t="e">
        <f t="shared" si="124"/>
        <v>#N/A</v>
      </c>
      <c r="O255" s="2" t="e">
        <f t="shared" si="125"/>
        <v>#N/A</v>
      </c>
      <c r="P255" s="2" t="e">
        <f t="shared" si="126"/>
        <v>#N/A</v>
      </c>
      <c r="R255" s="2" t="e">
        <f t="shared" si="127"/>
        <v>#N/A</v>
      </c>
      <c r="S255" s="2" t="e">
        <f t="shared" si="128"/>
        <v>#N/A</v>
      </c>
      <c r="U255" s="2" t="e">
        <f t="shared" si="129"/>
        <v>#N/A</v>
      </c>
      <c r="V255" s="2" t="e">
        <f t="shared" si="130"/>
        <v>#N/A</v>
      </c>
      <c r="X255" s="2" t="e">
        <f t="shared" si="131"/>
        <v>#N/A</v>
      </c>
      <c r="Y255" s="2" t="e">
        <f t="shared" si="132"/>
        <v>#N/A</v>
      </c>
      <c r="AA255" s="2" t="e">
        <f t="shared" si="133"/>
        <v>#N/A</v>
      </c>
      <c r="AB255" s="2" t="e">
        <f t="shared" si="134"/>
        <v>#N/A</v>
      </c>
      <c r="BB255" s="5"/>
      <c r="BC255" s="5"/>
      <c r="BD255" s="5"/>
      <c r="BE255" s="5"/>
      <c r="BF255" s="5"/>
      <c r="BG255" s="5"/>
      <c r="BH255" s="5"/>
    </row>
    <row r="256" spans="1:60" s="2" customFormat="1">
      <c r="A256" s="70">
        <v>180</v>
      </c>
      <c r="C256" s="2" t="e">
        <f t="shared" si="117"/>
        <v>#N/A</v>
      </c>
      <c r="D256" s="2" t="e">
        <f t="shared" si="118"/>
        <v>#N/A</v>
      </c>
      <c r="F256" s="2" t="e">
        <f t="shared" si="119"/>
        <v>#N/A</v>
      </c>
      <c r="G256" s="2" t="e">
        <f t="shared" si="120"/>
        <v>#N/A</v>
      </c>
      <c r="I256" s="2" t="e">
        <f t="shared" si="121"/>
        <v>#N/A</v>
      </c>
      <c r="J256" s="2" t="e">
        <f t="shared" si="122"/>
        <v>#N/A</v>
      </c>
      <c r="L256" s="2" t="e">
        <f t="shared" si="123"/>
        <v>#N/A</v>
      </c>
      <c r="M256" s="2" t="e">
        <f t="shared" si="124"/>
        <v>#N/A</v>
      </c>
      <c r="O256" s="2" t="e">
        <f t="shared" si="125"/>
        <v>#N/A</v>
      </c>
      <c r="P256" s="2" t="e">
        <f t="shared" si="126"/>
        <v>#N/A</v>
      </c>
      <c r="R256" s="2" t="e">
        <f t="shared" si="127"/>
        <v>#N/A</v>
      </c>
      <c r="S256" s="2" t="e">
        <f t="shared" si="128"/>
        <v>#N/A</v>
      </c>
      <c r="U256" s="2" t="e">
        <f t="shared" si="129"/>
        <v>#N/A</v>
      </c>
      <c r="V256" s="2" t="e">
        <f t="shared" si="130"/>
        <v>#N/A</v>
      </c>
      <c r="X256" s="2" t="e">
        <f t="shared" si="131"/>
        <v>#N/A</v>
      </c>
      <c r="Y256" s="2" t="e">
        <f t="shared" si="132"/>
        <v>#N/A</v>
      </c>
      <c r="AA256" s="2" t="e">
        <f t="shared" si="133"/>
        <v>#N/A</v>
      </c>
      <c r="AB256" s="2" t="e">
        <f t="shared" si="134"/>
        <v>#N/A</v>
      </c>
      <c r="BB256" s="5"/>
      <c r="BC256" s="5"/>
      <c r="BD256" s="5"/>
      <c r="BE256" s="5"/>
      <c r="BF256" s="5"/>
      <c r="BG256" s="5"/>
      <c r="BH256" s="5"/>
    </row>
    <row r="257" spans="1:60" s="2" customFormat="1">
      <c r="A257" s="70">
        <v>195</v>
      </c>
      <c r="C257" s="2" t="e">
        <f t="shared" si="117"/>
        <v>#N/A</v>
      </c>
      <c r="D257" s="2" t="e">
        <f t="shared" si="118"/>
        <v>#N/A</v>
      </c>
      <c r="F257" s="2" t="e">
        <f t="shared" si="119"/>
        <v>#N/A</v>
      </c>
      <c r="G257" s="2" t="e">
        <f t="shared" si="120"/>
        <v>#N/A</v>
      </c>
      <c r="I257" s="2" t="e">
        <f t="shared" si="121"/>
        <v>#N/A</v>
      </c>
      <c r="J257" s="2" t="e">
        <f t="shared" si="122"/>
        <v>#N/A</v>
      </c>
      <c r="L257" s="2" t="e">
        <f t="shared" si="123"/>
        <v>#N/A</v>
      </c>
      <c r="M257" s="2" t="e">
        <f t="shared" si="124"/>
        <v>#N/A</v>
      </c>
      <c r="O257" s="2" t="e">
        <f t="shared" si="125"/>
        <v>#N/A</v>
      </c>
      <c r="P257" s="2" t="e">
        <f t="shared" si="126"/>
        <v>#N/A</v>
      </c>
      <c r="R257" s="2" t="e">
        <f t="shared" si="127"/>
        <v>#N/A</v>
      </c>
      <c r="S257" s="2" t="e">
        <f t="shared" si="128"/>
        <v>#N/A</v>
      </c>
      <c r="U257" s="2" t="e">
        <f t="shared" si="129"/>
        <v>#N/A</v>
      </c>
      <c r="V257" s="2" t="e">
        <f t="shared" si="130"/>
        <v>#N/A</v>
      </c>
      <c r="X257" s="2" t="e">
        <f t="shared" si="131"/>
        <v>#N/A</v>
      </c>
      <c r="Y257" s="2" t="e">
        <f t="shared" si="132"/>
        <v>#N/A</v>
      </c>
      <c r="AA257" s="2" t="e">
        <f t="shared" si="133"/>
        <v>#N/A</v>
      </c>
      <c r="AB257" s="2" t="e">
        <f t="shared" si="134"/>
        <v>#N/A</v>
      </c>
      <c r="BB257" s="5"/>
      <c r="BC257" s="5"/>
      <c r="BD257" s="5"/>
      <c r="BE257" s="5"/>
      <c r="BF257" s="5"/>
      <c r="BG257" s="5"/>
      <c r="BH257" s="5"/>
    </row>
    <row r="258" spans="1:60" s="2" customFormat="1">
      <c r="A258" s="70">
        <v>210</v>
      </c>
      <c r="C258" s="2" t="e">
        <f t="shared" si="117"/>
        <v>#N/A</v>
      </c>
      <c r="D258" s="2" t="e">
        <f t="shared" si="118"/>
        <v>#N/A</v>
      </c>
      <c r="F258" s="2" t="e">
        <f t="shared" si="119"/>
        <v>#N/A</v>
      </c>
      <c r="G258" s="2" t="e">
        <f t="shared" si="120"/>
        <v>#N/A</v>
      </c>
      <c r="I258" s="2" t="e">
        <f t="shared" si="121"/>
        <v>#N/A</v>
      </c>
      <c r="J258" s="2" t="e">
        <f t="shared" si="122"/>
        <v>#N/A</v>
      </c>
      <c r="L258" s="2" t="e">
        <f t="shared" si="123"/>
        <v>#N/A</v>
      </c>
      <c r="M258" s="2" t="e">
        <f t="shared" si="124"/>
        <v>#N/A</v>
      </c>
      <c r="O258" s="2" t="e">
        <f t="shared" si="125"/>
        <v>#N/A</v>
      </c>
      <c r="P258" s="2" t="e">
        <f t="shared" si="126"/>
        <v>#N/A</v>
      </c>
      <c r="R258" s="2" t="e">
        <f t="shared" si="127"/>
        <v>#N/A</v>
      </c>
      <c r="S258" s="2" t="e">
        <f t="shared" si="128"/>
        <v>#N/A</v>
      </c>
      <c r="U258" s="2" t="e">
        <f t="shared" si="129"/>
        <v>#N/A</v>
      </c>
      <c r="V258" s="2" t="e">
        <f t="shared" si="130"/>
        <v>#N/A</v>
      </c>
      <c r="X258" s="2" t="e">
        <f t="shared" si="131"/>
        <v>#N/A</v>
      </c>
      <c r="Y258" s="2" t="e">
        <f t="shared" si="132"/>
        <v>#N/A</v>
      </c>
      <c r="AA258" s="2" t="e">
        <f t="shared" si="133"/>
        <v>#N/A</v>
      </c>
      <c r="AB258" s="2" t="e">
        <f t="shared" si="134"/>
        <v>#N/A</v>
      </c>
      <c r="BB258" s="5"/>
      <c r="BC258" s="5"/>
      <c r="BD258" s="5"/>
      <c r="BE258" s="5"/>
      <c r="BF258" s="5"/>
      <c r="BG258" s="5"/>
      <c r="BH258" s="5"/>
    </row>
    <row r="259" spans="1:60" s="2" customFormat="1">
      <c r="A259" s="70">
        <v>225</v>
      </c>
      <c r="C259" s="2" t="e">
        <f t="shared" si="117"/>
        <v>#N/A</v>
      </c>
      <c r="D259" s="2" t="e">
        <f t="shared" si="118"/>
        <v>#N/A</v>
      </c>
      <c r="F259" s="2" t="e">
        <f t="shared" si="119"/>
        <v>#N/A</v>
      </c>
      <c r="G259" s="2" t="e">
        <f t="shared" si="120"/>
        <v>#N/A</v>
      </c>
      <c r="I259" s="2" t="e">
        <f t="shared" si="121"/>
        <v>#N/A</v>
      </c>
      <c r="J259" s="2" t="e">
        <f t="shared" si="122"/>
        <v>#N/A</v>
      </c>
      <c r="L259" s="2" t="e">
        <f t="shared" si="123"/>
        <v>#N/A</v>
      </c>
      <c r="M259" s="2" t="e">
        <f t="shared" si="124"/>
        <v>#N/A</v>
      </c>
      <c r="O259" s="2" t="e">
        <f t="shared" si="125"/>
        <v>#N/A</v>
      </c>
      <c r="P259" s="2" t="e">
        <f t="shared" si="126"/>
        <v>#N/A</v>
      </c>
      <c r="R259" s="2" t="e">
        <f t="shared" si="127"/>
        <v>#N/A</v>
      </c>
      <c r="S259" s="2" t="e">
        <f t="shared" si="128"/>
        <v>#N/A</v>
      </c>
      <c r="U259" s="2" t="e">
        <f t="shared" si="129"/>
        <v>#N/A</v>
      </c>
      <c r="V259" s="2" t="e">
        <f t="shared" si="130"/>
        <v>#N/A</v>
      </c>
      <c r="X259" s="2" t="e">
        <f t="shared" si="131"/>
        <v>#N/A</v>
      </c>
      <c r="Y259" s="2" t="e">
        <f t="shared" si="132"/>
        <v>#N/A</v>
      </c>
      <c r="AA259" s="2" t="e">
        <f t="shared" si="133"/>
        <v>#N/A</v>
      </c>
      <c r="AB259" s="2" t="e">
        <f t="shared" si="134"/>
        <v>#N/A</v>
      </c>
      <c r="BB259" s="5"/>
      <c r="BC259" s="5"/>
      <c r="BD259" s="5"/>
      <c r="BE259" s="5"/>
      <c r="BF259" s="5"/>
      <c r="BG259" s="5"/>
      <c r="BH259" s="5"/>
    </row>
    <row r="260" spans="1:60" s="2" customFormat="1">
      <c r="A260" s="70">
        <v>240</v>
      </c>
      <c r="C260" s="2" t="e">
        <f t="shared" si="117"/>
        <v>#N/A</v>
      </c>
      <c r="D260" s="2" t="e">
        <f t="shared" si="118"/>
        <v>#N/A</v>
      </c>
      <c r="F260" s="2" t="e">
        <f t="shared" si="119"/>
        <v>#N/A</v>
      </c>
      <c r="G260" s="2" t="e">
        <f t="shared" si="120"/>
        <v>#N/A</v>
      </c>
      <c r="I260" s="2" t="e">
        <f t="shared" si="121"/>
        <v>#N/A</v>
      </c>
      <c r="J260" s="2" t="e">
        <f t="shared" si="122"/>
        <v>#N/A</v>
      </c>
      <c r="L260" s="2" t="e">
        <f t="shared" si="123"/>
        <v>#N/A</v>
      </c>
      <c r="M260" s="2" t="e">
        <f t="shared" si="124"/>
        <v>#N/A</v>
      </c>
      <c r="O260" s="2" t="e">
        <f t="shared" si="125"/>
        <v>#N/A</v>
      </c>
      <c r="P260" s="2" t="e">
        <f t="shared" si="126"/>
        <v>#N/A</v>
      </c>
      <c r="R260" s="2" t="e">
        <f t="shared" si="127"/>
        <v>#N/A</v>
      </c>
      <c r="S260" s="2" t="e">
        <f t="shared" si="128"/>
        <v>#N/A</v>
      </c>
      <c r="U260" s="2" t="e">
        <f t="shared" si="129"/>
        <v>#N/A</v>
      </c>
      <c r="V260" s="2" t="e">
        <f t="shared" si="130"/>
        <v>#N/A</v>
      </c>
      <c r="X260" s="2" t="e">
        <f t="shared" si="131"/>
        <v>#N/A</v>
      </c>
      <c r="Y260" s="2" t="e">
        <f t="shared" si="132"/>
        <v>#N/A</v>
      </c>
      <c r="AA260" s="2" t="e">
        <f t="shared" si="133"/>
        <v>#N/A</v>
      </c>
      <c r="AB260" s="2" t="e">
        <f t="shared" si="134"/>
        <v>#N/A</v>
      </c>
      <c r="BB260" s="5"/>
      <c r="BC260" s="5"/>
      <c r="BD260" s="5"/>
      <c r="BE260" s="5"/>
      <c r="BF260" s="5"/>
      <c r="BG260" s="5"/>
      <c r="BH260" s="5"/>
    </row>
    <row r="261" spans="1:60" s="2" customFormat="1">
      <c r="A261" s="70">
        <v>255</v>
      </c>
      <c r="C261" s="2" t="e">
        <f t="shared" si="117"/>
        <v>#N/A</v>
      </c>
      <c r="D261" s="2" t="e">
        <f t="shared" si="118"/>
        <v>#N/A</v>
      </c>
      <c r="F261" s="2" t="e">
        <f t="shared" si="119"/>
        <v>#N/A</v>
      </c>
      <c r="G261" s="2" t="e">
        <f t="shared" si="120"/>
        <v>#N/A</v>
      </c>
      <c r="I261" s="2" t="e">
        <f t="shared" si="121"/>
        <v>#N/A</v>
      </c>
      <c r="J261" s="2" t="e">
        <f t="shared" si="122"/>
        <v>#N/A</v>
      </c>
      <c r="L261" s="2" t="e">
        <f t="shared" si="123"/>
        <v>#N/A</v>
      </c>
      <c r="M261" s="2" t="e">
        <f t="shared" si="124"/>
        <v>#N/A</v>
      </c>
      <c r="O261" s="2" t="e">
        <f t="shared" si="125"/>
        <v>#N/A</v>
      </c>
      <c r="P261" s="2" t="e">
        <f t="shared" si="126"/>
        <v>#N/A</v>
      </c>
      <c r="R261" s="2" t="e">
        <f t="shared" si="127"/>
        <v>#N/A</v>
      </c>
      <c r="S261" s="2" t="e">
        <f t="shared" si="128"/>
        <v>#N/A</v>
      </c>
      <c r="U261" s="2" t="e">
        <f t="shared" si="129"/>
        <v>#N/A</v>
      </c>
      <c r="V261" s="2" t="e">
        <f t="shared" si="130"/>
        <v>#N/A</v>
      </c>
      <c r="X261" s="2" t="e">
        <f t="shared" si="131"/>
        <v>#N/A</v>
      </c>
      <c r="Y261" s="2" t="e">
        <f t="shared" si="132"/>
        <v>#N/A</v>
      </c>
      <c r="AA261" s="2" t="e">
        <f t="shared" si="133"/>
        <v>#N/A</v>
      </c>
      <c r="AB261" s="2" t="e">
        <f t="shared" si="134"/>
        <v>#N/A</v>
      </c>
      <c r="BB261" s="5"/>
      <c r="BC261" s="5"/>
      <c r="BD261" s="5"/>
      <c r="BE261" s="5"/>
      <c r="BF261" s="5"/>
      <c r="BG261" s="5"/>
      <c r="BH261" s="5"/>
    </row>
    <row r="262" spans="1:60" s="2" customFormat="1">
      <c r="A262" s="70">
        <v>270</v>
      </c>
      <c r="C262" s="2" t="e">
        <f t="shared" si="117"/>
        <v>#N/A</v>
      </c>
      <c r="D262" s="2" t="e">
        <f t="shared" si="118"/>
        <v>#N/A</v>
      </c>
      <c r="F262" s="2" t="e">
        <f t="shared" si="119"/>
        <v>#N/A</v>
      </c>
      <c r="G262" s="2" t="e">
        <f t="shared" si="120"/>
        <v>#N/A</v>
      </c>
      <c r="I262" s="2" t="e">
        <f t="shared" si="121"/>
        <v>#N/A</v>
      </c>
      <c r="J262" s="2" t="e">
        <f t="shared" si="122"/>
        <v>#N/A</v>
      </c>
      <c r="L262" s="2" t="e">
        <f t="shared" si="123"/>
        <v>#N/A</v>
      </c>
      <c r="M262" s="2" t="e">
        <f t="shared" si="124"/>
        <v>#N/A</v>
      </c>
      <c r="O262" s="2" t="e">
        <f t="shared" si="125"/>
        <v>#N/A</v>
      </c>
      <c r="P262" s="2" t="e">
        <f t="shared" si="126"/>
        <v>#N/A</v>
      </c>
      <c r="R262" s="2" t="e">
        <f t="shared" si="127"/>
        <v>#N/A</v>
      </c>
      <c r="S262" s="2" t="e">
        <f t="shared" si="128"/>
        <v>#N/A</v>
      </c>
      <c r="U262" s="2" t="e">
        <f t="shared" si="129"/>
        <v>#N/A</v>
      </c>
      <c r="V262" s="2" t="e">
        <f t="shared" si="130"/>
        <v>#N/A</v>
      </c>
      <c r="X262" s="2" t="e">
        <f t="shared" si="131"/>
        <v>#N/A</v>
      </c>
      <c r="Y262" s="2" t="e">
        <f t="shared" si="132"/>
        <v>#N/A</v>
      </c>
      <c r="AA262" s="2" t="e">
        <f t="shared" si="133"/>
        <v>#N/A</v>
      </c>
      <c r="AB262" s="2" t="e">
        <f t="shared" si="134"/>
        <v>#N/A</v>
      </c>
      <c r="BB262" s="5"/>
      <c r="BC262" s="5"/>
      <c r="BD262" s="5"/>
      <c r="BE262" s="5"/>
      <c r="BF262" s="5"/>
      <c r="BG262" s="5"/>
      <c r="BH262" s="5"/>
    </row>
    <row r="263" spans="1:60" s="2" customFormat="1">
      <c r="A263" s="70">
        <v>285</v>
      </c>
      <c r="C263" s="2" t="e">
        <f t="shared" si="117"/>
        <v>#N/A</v>
      </c>
      <c r="D263" s="2" t="e">
        <f t="shared" si="118"/>
        <v>#N/A</v>
      </c>
      <c r="F263" s="2" t="e">
        <f t="shared" si="119"/>
        <v>#N/A</v>
      </c>
      <c r="G263" s="2" t="e">
        <f t="shared" si="120"/>
        <v>#N/A</v>
      </c>
      <c r="I263" s="2" t="e">
        <f t="shared" si="121"/>
        <v>#N/A</v>
      </c>
      <c r="J263" s="2" t="e">
        <f t="shared" si="122"/>
        <v>#N/A</v>
      </c>
      <c r="L263" s="2" t="e">
        <f t="shared" si="123"/>
        <v>#N/A</v>
      </c>
      <c r="M263" s="2" t="e">
        <f t="shared" si="124"/>
        <v>#N/A</v>
      </c>
      <c r="O263" s="2" t="e">
        <f t="shared" si="125"/>
        <v>#N/A</v>
      </c>
      <c r="P263" s="2" t="e">
        <f t="shared" si="126"/>
        <v>#N/A</v>
      </c>
      <c r="R263" s="2" t="e">
        <f t="shared" si="127"/>
        <v>#N/A</v>
      </c>
      <c r="S263" s="2" t="e">
        <f t="shared" si="128"/>
        <v>#N/A</v>
      </c>
      <c r="U263" s="2" t="e">
        <f t="shared" si="129"/>
        <v>#N/A</v>
      </c>
      <c r="V263" s="2" t="e">
        <f t="shared" si="130"/>
        <v>#N/A</v>
      </c>
      <c r="X263" s="2" t="e">
        <f t="shared" si="131"/>
        <v>#N/A</v>
      </c>
      <c r="Y263" s="2" t="e">
        <f t="shared" si="132"/>
        <v>#N/A</v>
      </c>
      <c r="AA263" s="2" t="e">
        <f t="shared" si="133"/>
        <v>#N/A</v>
      </c>
      <c r="AB263" s="2" t="e">
        <f t="shared" si="134"/>
        <v>#N/A</v>
      </c>
      <c r="BB263" s="5"/>
      <c r="BC263" s="5"/>
      <c r="BD263" s="5"/>
      <c r="BE263" s="5"/>
      <c r="BF263" s="5"/>
      <c r="BG263" s="5"/>
      <c r="BH263" s="5"/>
    </row>
    <row r="264" spans="1:60" s="2" customFormat="1">
      <c r="A264" s="70">
        <v>300</v>
      </c>
      <c r="C264" s="2" t="e">
        <f t="shared" si="117"/>
        <v>#N/A</v>
      </c>
      <c r="D264" s="2" t="e">
        <f t="shared" si="118"/>
        <v>#N/A</v>
      </c>
      <c r="F264" s="2" t="e">
        <f t="shared" si="119"/>
        <v>#N/A</v>
      </c>
      <c r="G264" s="2" t="e">
        <f t="shared" si="120"/>
        <v>#N/A</v>
      </c>
      <c r="I264" s="2" t="e">
        <f t="shared" si="121"/>
        <v>#N/A</v>
      </c>
      <c r="J264" s="2" t="e">
        <f t="shared" si="122"/>
        <v>#N/A</v>
      </c>
      <c r="L264" s="2" t="e">
        <f t="shared" si="123"/>
        <v>#N/A</v>
      </c>
      <c r="M264" s="2" t="e">
        <f t="shared" si="124"/>
        <v>#N/A</v>
      </c>
      <c r="O264" s="2" t="e">
        <f t="shared" si="125"/>
        <v>#N/A</v>
      </c>
      <c r="P264" s="2" t="e">
        <f t="shared" si="126"/>
        <v>#N/A</v>
      </c>
      <c r="R264" s="2" t="e">
        <f t="shared" si="127"/>
        <v>#N/A</v>
      </c>
      <c r="S264" s="2" t="e">
        <f t="shared" si="128"/>
        <v>#N/A</v>
      </c>
      <c r="U264" s="2" t="e">
        <f t="shared" si="129"/>
        <v>#N/A</v>
      </c>
      <c r="V264" s="2" t="e">
        <f t="shared" si="130"/>
        <v>#N/A</v>
      </c>
      <c r="X264" s="2" t="e">
        <f t="shared" si="131"/>
        <v>#N/A</v>
      </c>
      <c r="Y264" s="2" t="e">
        <f t="shared" si="132"/>
        <v>#N/A</v>
      </c>
      <c r="AA264" s="2" t="e">
        <f t="shared" si="133"/>
        <v>#N/A</v>
      </c>
      <c r="AB264" s="2" t="e">
        <f t="shared" si="134"/>
        <v>#N/A</v>
      </c>
      <c r="BB264" s="5"/>
      <c r="BC264" s="5"/>
      <c r="BD264" s="5"/>
      <c r="BE264" s="5"/>
      <c r="BF264" s="5"/>
      <c r="BG264" s="5"/>
      <c r="BH264" s="5"/>
    </row>
    <row r="265" spans="1:60" s="2" customFormat="1">
      <c r="A265" s="70">
        <v>315</v>
      </c>
      <c r="C265" s="2" t="e">
        <f t="shared" si="117"/>
        <v>#N/A</v>
      </c>
      <c r="D265" s="2" t="e">
        <f t="shared" si="118"/>
        <v>#N/A</v>
      </c>
      <c r="F265" s="2" t="e">
        <f t="shared" si="119"/>
        <v>#N/A</v>
      </c>
      <c r="G265" s="2" t="e">
        <f t="shared" si="120"/>
        <v>#N/A</v>
      </c>
      <c r="I265" s="2" t="e">
        <f t="shared" si="121"/>
        <v>#N/A</v>
      </c>
      <c r="J265" s="2" t="e">
        <f t="shared" si="122"/>
        <v>#N/A</v>
      </c>
      <c r="L265" s="2" t="e">
        <f t="shared" si="123"/>
        <v>#N/A</v>
      </c>
      <c r="M265" s="2" t="e">
        <f t="shared" si="124"/>
        <v>#N/A</v>
      </c>
      <c r="O265" s="2" t="e">
        <f t="shared" si="125"/>
        <v>#N/A</v>
      </c>
      <c r="P265" s="2" t="e">
        <f t="shared" si="126"/>
        <v>#N/A</v>
      </c>
      <c r="R265" s="2" t="e">
        <f t="shared" si="127"/>
        <v>#N/A</v>
      </c>
      <c r="S265" s="2" t="e">
        <f t="shared" si="128"/>
        <v>#N/A</v>
      </c>
      <c r="U265" s="2" t="e">
        <f t="shared" si="129"/>
        <v>#N/A</v>
      </c>
      <c r="V265" s="2" t="e">
        <f t="shared" si="130"/>
        <v>#N/A</v>
      </c>
      <c r="X265" s="2" t="e">
        <f t="shared" si="131"/>
        <v>#N/A</v>
      </c>
      <c r="Y265" s="2" t="e">
        <f t="shared" si="132"/>
        <v>#N/A</v>
      </c>
      <c r="AA265" s="2" t="e">
        <f t="shared" si="133"/>
        <v>#N/A</v>
      </c>
      <c r="AB265" s="2" t="e">
        <f t="shared" si="134"/>
        <v>#N/A</v>
      </c>
      <c r="BB265" s="5"/>
      <c r="BC265" s="5"/>
      <c r="BD265" s="5"/>
      <c r="BE265" s="5"/>
      <c r="BF265" s="5"/>
      <c r="BG265" s="5"/>
      <c r="BH265" s="5"/>
    </row>
    <row r="266" spans="1:60" s="2" customFormat="1">
      <c r="A266" s="70">
        <v>330</v>
      </c>
      <c r="C266" s="2" t="e">
        <f t="shared" si="117"/>
        <v>#N/A</v>
      </c>
      <c r="D266" s="2" t="e">
        <f t="shared" si="118"/>
        <v>#N/A</v>
      </c>
      <c r="F266" s="2" t="e">
        <f t="shared" si="119"/>
        <v>#N/A</v>
      </c>
      <c r="G266" s="2" t="e">
        <f t="shared" si="120"/>
        <v>#N/A</v>
      </c>
      <c r="I266" s="2" t="e">
        <f t="shared" si="121"/>
        <v>#N/A</v>
      </c>
      <c r="J266" s="2" t="e">
        <f t="shared" si="122"/>
        <v>#N/A</v>
      </c>
      <c r="L266" s="2" t="e">
        <f t="shared" si="123"/>
        <v>#N/A</v>
      </c>
      <c r="M266" s="2" t="e">
        <f t="shared" si="124"/>
        <v>#N/A</v>
      </c>
      <c r="O266" s="2" t="e">
        <f t="shared" si="125"/>
        <v>#N/A</v>
      </c>
      <c r="P266" s="2" t="e">
        <f t="shared" si="126"/>
        <v>#N/A</v>
      </c>
      <c r="R266" s="2" t="e">
        <f t="shared" si="127"/>
        <v>#N/A</v>
      </c>
      <c r="S266" s="2" t="e">
        <f t="shared" si="128"/>
        <v>#N/A</v>
      </c>
      <c r="U266" s="2" t="e">
        <f t="shared" si="129"/>
        <v>#N/A</v>
      </c>
      <c r="V266" s="2" t="e">
        <f t="shared" si="130"/>
        <v>#N/A</v>
      </c>
      <c r="X266" s="2" t="e">
        <f t="shared" si="131"/>
        <v>#N/A</v>
      </c>
      <c r="Y266" s="2" t="e">
        <f t="shared" si="132"/>
        <v>#N/A</v>
      </c>
      <c r="AA266" s="2" t="e">
        <f t="shared" si="133"/>
        <v>#N/A</v>
      </c>
      <c r="AB266" s="2" t="e">
        <f t="shared" si="134"/>
        <v>#N/A</v>
      </c>
      <c r="BB266" s="5"/>
      <c r="BC266" s="5"/>
      <c r="BD266" s="5"/>
      <c r="BE266" s="5"/>
      <c r="BF266" s="5"/>
      <c r="BG266" s="5"/>
      <c r="BH266" s="5"/>
    </row>
    <row r="267" spans="1:60" s="2" customFormat="1">
      <c r="A267" s="70">
        <v>345</v>
      </c>
      <c r="C267" s="2" t="e">
        <f t="shared" si="117"/>
        <v>#N/A</v>
      </c>
      <c r="D267" s="2" t="e">
        <f t="shared" si="118"/>
        <v>#N/A</v>
      </c>
      <c r="F267" s="2" t="e">
        <f t="shared" si="119"/>
        <v>#N/A</v>
      </c>
      <c r="G267" s="2" t="e">
        <f t="shared" si="120"/>
        <v>#N/A</v>
      </c>
      <c r="I267" s="2" t="e">
        <f t="shared" si="121"/>
        <v>#N/A</v>
      </c>
      <c r="J267" s="2" t="e">
        <f t="shared" si="122"/>
        <v>#N/A</v>
      </c>
      <c r="L267" s="2" t="e">
        <f t="shared" si="123"/>
        <v>#N/A</v>
      </c>
      <c r="M267" s="2" t="e">
        <f t="shared" si="124"/>
        <v>#N/A</v>
      </c>
      <c r="O267" s="2" t="e">
        <f t="shared" si="125"/>
        <v>#N/A</v>
      </c>
      <c r="P267" s="2" t="e">
        <f t="shared" si="126"/>
        <v>#N/A</v>
      </c>
      <c r="R267" s="2" t="e">
        <f t="shared" si="127"/>
        <v>#N/A</v>
      </c>
      <c r="S267" s="2" t="e">
        <f t="shared" si="128"/>
        <v>#N/A</v>
      </c>
      <c r="U267" s="2" t="e">
        <f t="shared" si="129"/>
        <v>#N/A</v>
      </c>
      <c r="V267" s="2" t="e">
        <f t="shared" si="130"/>
        <v>#N/A</v>
      </c>
      <c r="X267" s="2" t="e">
        <f t="shared" si="131"/>
        <v>#N/A</v>
      </c>
      <c r="Y267" s="2" t="e">
        <f t="shared" si="132"/>
        <v>#N/A</v>
      </c>
      <c r="AA267" s="2" t="e">
        <f t="shared" si="133"/>
        <v>#N/A</v>
      </c>
      <c r="AB267" s="2" t="e">
        <f t="shared" si="134"/>
        <v>#N/A</v>
      </c>
      <c r="BB267" s="5"/>
      <c r="BC267" s="5"/>
      <c r="BD267" s="5"/>
      <c r="BE267" s="5"/>
      <c r="BF267" s="5"/>
      <c r="BG267" s="5"/>
      <c r="BH267" s="5"/>
    </row>
    <row r="268" spans="1:60" s="2" customFormat="1">
      <c r="A268" s="70">
        <v>360</v>
      </c>
      <c r="C268" s="2" t="e">
        <f t="shared" si="117"/>
        <v>#N/A</v>
      </c>
      <c r="D268" s="2" t="e">
        <f t="shared" si="118"/>
        <v>#N/A</v>
      </c>
      <c r="F268" s="2" t="e">
        <f t="shared" si="119"/>
        <v>#N/A</v>
      </c>
      <c r="G268" s="2" t="e">
        <f t="shared" si="120"/>
        <v>#N/A</v>
      </c>
      <c r="I268" s="2" t="e">
        <f t="shared" si="121"/>
        <v>#N/A</v>
      </c>
      <c r="J268" s="2" t="e">
        <f t="shared" si="122"/>
        <v>#N/A</v>
      </c>
      <c r="L268" s="2" t="e">
        <f t="shared" si="123"/>
        <v>#N/A</v>
      </c>
      <c r="M268" s="2" t="e">
        <f t="shared" si="124"/>
        <v>#N/A</v>
      </c>
      <c r="O268" s="2" t="e">
        <f t="shared" si="125"/>
        <v>#N/A</v>
      </c>
      <c r="P268" s="2" t="e">
        <f t="shared" si="126"/>
        <v>#N/A</v>
      </c>
      <c r="R268" s="2" t="e">
        <f t="shared" si="127"/>
        <v>#N/A</v>
      </c>
      <c r="S268" s="2" t="e">
        <f t="shared" si="128"/>
        <v>#N/A</v>
      </c>
      <c r="U268" s="2" t="e">
        <f t="shared" si="129"/>
        <v>#N/A</v>
      </c>
      <c r="V268" s="2" t="e">
        <f t="shared" si="130"/>
        <v>#N/A</v>
      </c>
      <c r="X268" s="2" t="e">
        <f t="shared" si="131"/>
        <v>#N/A</v>
      </c>
      <c r="Y268" s="2" t="e">
        <f t="shared" si="132"/>
        <v>#N/A</v>
      </c>
      <c r="AA268" s="2" t="e">
        <f t="shared" si="133"/>
        <v>#N/A</v>
      </c>
      <c r="AB268" s="2" t="e">
        <f t="shared" si="134"/>
        <v>#N/A</v>
      </c>
      <c r="BB268" s="5"/>
      <c r="BC268" s="5"/>
      <c r="BD268" s="5"/>
      <c r="BE268" s="5"/>
      <c r="BF268" s="5"/>
      <c r="BG268" s="5"/>
      <c r="BH268" s="5"/>
    </row>
    <row r="269" spans="1:60" s="2" customFormat="1">
      <c r="A269" s="70"/>
      <c r="BB269" s="5"/>
      <c r="BC269" s="5"/>
      <c r="BD269" s="5"/>
      <c r="BE269" s="5"/>
      <c r="BF269" s="5"/>
      <c r="BG269" s="5"/>
      <c r="BH269" s="5"/>
    </row>
    <row r="270" spans="1:60" s="2" customFormat="1">
      <c r="A270" s="70">
        <v>0</v>
      </c>
      <c r="B270" s="2">
        <v>7</v>
      </c>
      <c r="C270" s="2" t="e">
        <f t="shared" ref="C270:C294" si="135">IF(AND(AG$3,C$567&gt;0),E$17*COS($A270*PI()/180)+C$567,NA())</f>
        <v>#N/A</v>
      </c>
      <c r="D270" s="2" t="e">
        <f t="shared" ref="D270:D294" si="136">IF(AND(AG$3,C$567&gt;0),E$17*SIN($A270*PI()/180)+E$15,NA())</f>
        <v>#N/A</v>
      </c>
      <c r="F270" s="2" t="e">
        <f t="shared" ref="F270:F294" si="137">IF(AND(AH$3,F$567&gt;0),H$17*COS($A270*PI()/180)+F$567,NA())</f>
        <v>#N/A</v>
      </c>
      <c r="G270" s="2" t="e">
        <f t="shared" ref="G270:G294" si="138">IF(AND(AH$3,F$567&gt;0),H$17*SIN($A270*PI()/180)+H$15,NA())</f>
        <v>#N/A</v>
      </c>
      <c r="I270" s="2" t="e">
        <f t="shared" ref="I270:I294" si="139">IF(AND(AI$3,I$567&gt;0),K$17*COS($A270*PI()/180)+I$567,NA())</f>
        <v>#N/A</v>
      </c>
      <c r="J270" s="2" t="e">
        <f t="shared" ref="J270:J294" si="140">IF(AND(AI$3,I$567&gt;0),K$17*SIN($A270*PI()/180)+K$15,NA())</f>
        <v>#N/A</v>
      </c>
      <c r="L270" s="2" t="e">
        <f t="shared" ref="L270:L294" si="141">IF(AND(AJ$3,L$567&gt;0),N$17*COS($A270*PI()/180)+L$567,NA())</f>
        <v>#N/A</v>
      </c>
      <c r="M270" s="2" t="e">
        <f t="shared" ref="M270:M294" si="142">IF(AND(AJ$3,L$567&gt;0),N$17*SIN($A270*PI()/180)+N$15,NA())</f>
        <v>#N/A</v>
      </c>
      <c r="O270" s="2" t="e">
        <f t="shared" ref="O270:O294" si="143">IF(AND(AK$3,O$567&gt;0),Q$17*COS($A270*PI()/180)+O$567,NA())</f>
        <v>#N/A</v>
      </c>
      <c r="P270" s="2" t="e">
        <f t="shared" ref="P270:P294" si="144">IF(AND(AK$3,O$567&gt;0),Q$17*SIN($A270*PI()/180)+Q$15,NA())</f>
        <v>#N/A</v>
      </c>
      <c r="R270" s="2" t="e">
        <f t="shared" ref="R270:R294" si="145">IF(AND(AL$3,R$567&gt;0),T$17*COS($A270*PI()/180)+R$567,NA())</f>
        <v>#N/A</v>
      </c>
      <c r="S270" s="2" t="e">
        <f t="shared" ref="S270:S294" si="146">IF(AND(AL$3,R$567&gt;0),T$17*SIN($A270*PI()/180)+T$15,NA())</f>
        <v>#N/A</v>
      </c>
      <c r="U270" s="2" t="e">
        <f t="shared" ref="U270:U294" si="147">IF(AND(AM$3,U$567&gt;0),W$17*COS($A270*PI()/180)+U$567,NA())</f>
        <v>#N/A</v>
      </c>
      <c r="V270" s="2" t="e">
        <f t="shared" ref="V270:V294" si="148">IF(AND(AM$3,U$567&gt;0),W$17*SIN($A270*PI()/180)+W$15,NA())</f>
        <v>#N/A</v>
      </c>
      <c r="X270" s="2" t="e">
        <f t="shared" ref="X270:X294" si="149">IF(AND(AN$3,X$567&gt;0),Z$17*COS($A270*PI()/180)+X$567,NA())</f>
        <v>#N/A</v>
      </c>
      <c r="Y270" s="2" t="e">
        <f t="shared" ref="Y270:Y294" si="150">IF(AND(AN$3,X$567&gt;0),Z$17*SIN($A270*PI()/180)+Z$15,NA())</f>
        <v>#N/A</v>
      </c>
      <c r="AA270" s="2" t="e">
        <f t="shared" ref="AA270:AA294" si="151">IF(AND(AO$3,AA$567&gt;0),AC$17*COS($A270*PI()/180)+AA$567,NA())</f>
        <v>#N/A</v>
      </c>
      <c r="AB270" s="2" t="e">
        <f t="shared" ref="AB270:AB294" si="152">IF(AND(AO$3,AA$567&gt;0),AC$17*SIN($A270*PI()/180)+AC$15,NA())</f>
        <v>#N/A</v>
      </c>
      <c r="BB270" s="5"/>
      <c r="BC270" s="5"/>
      <c r="BD270" s="5"/>
      <c r="BE270" s="5"/>
      <c r="BF270" s="5"/>
      <c r="BG270" s="5"/>
      <c r="BH270" s="5"/>
    </row>
    <row r="271" spans="1:60" s="2" customFormat="1">
      <c r="A271" s="70">
        <v>15</v>
      </c>
      <c r="C271" s="2" t="e">
        <f t="shared" si="135"/>
        <v>#N/A</v>
      </c>
      <c r="D271" s="2" t="e">
        <f t="shared" si="136"/>
        <v>#N/A</v>
      </c>
      <c r="F271" s="2" t="e">
        <f t="shared" si="137"/>
        <v>#N/A</v>
      </c>
      <c r="G271" s="2" t="e">
        <f t="shared" si="138"/>
        <v>#N/A</v>
      </c>
      <c r="I271" s="2" t="e">
        <f t="shared" si="139"/>
        <v>#N/A</v>
      </c>
      <c r="J271" s="2" t="e">
        <f t="shared" si="140"/>
        <v>#N/A</v>
      </c>
      <c r="L271" s="2" t="e">
        <f t="shared" si="141"/>
        <v>#N/A</v>
      </c>
      <c r="M271" s="2" t="e">
        <f t="shared" si="142"/>
        <v>#N/A</v>
      </c>
      <c r="O271" s="2" t="e">
        <f t="shared" si="143"/>
        <v>#N/A</v>
      </c>
      <c r="P271" s="2" t="e">
        <f t="shared" si="144"/>
        <v>#N/A</v>
      </c>
      <c r="R271" s="2" t="e">
        <f t="shared" si="145"/>
        <v>#N/A</v>
      </c>
      <c r="S271" s="2" t="e">
        <f t="shared" si="146"/>
        <v>#N/A</v>
      </c>
      <c r="U271" s="2" t="e">
        <f t="shared" si="147"/>
        <v>#N/A</v>
      </c>
      <c r="V271" s="2" t="e">
        <f t="shared" si="148"/>
        <v>#N/A</v>
      </c>
      <c r="X271" s="2" t="e">
        <f t="shared" si="149"/>
        <v>#N/A</v>
      </c>
      <c r="Y271" s="2" t="e">
        <f t="shared" si="150"/>
        <v>#N/A</v>
      </c>
      <c r="AA271" s="2" t="e">
        <f t="shared" si="151"/>
        <v>#N/A</v>
      </c>
      <c r="AB271" s="2" t="e">
        <f t="shared" si="152"/>
        <v>#N/A</v>
      </c>
      <c r="BB271" s="5"/>
      <c r="BC271" s="5"/>
      <c r="BD271" s="5"/>
      <c r="BE271" s="5"/>
      <c r="BF271" s="5"/>
      <c r="BG271" s="5"/>
      <c r="BH271" s="5"/>
    </row>
    <row r="272" spans="1:60" s="2" customFormat="1">
      <c r="A272" s="70">
        <v>30</v>
      </c>
      <c r="C272" s="2" t="e">
        <f t="shared" si="135"/>
        <v>#N/A</v>
      </c>
      <c r="D272" s="2" t="e">
        <f t="shared" si="136"/>
        <v>#N/A</v>
      </c>
      <c r="F272" s="2" t="e">
        <f t="shared" si="137"/>
        <v>#N/A</v>
      </c>
      <c r="G272" s="2" t="e">
        <f t="shared" si="138"/>
        <v>#N/A</v>
      </c>
      <c r="I272" s="2" t="e">
        <f t="shared" si="139"/>
        <v>#N/A</v>
      </c>
      <c r="J272" s="2" t="e">
        <f t="shared" si="140"/>
        <v>#N/A</v>
      </c>
      <c r="L272" s="2" t="e">
        <f t="shared" si="141"/>
        <v>#N/A</v>
      </c>
      <c r="M272" s="2" t="e">
        <f t="shared" si="142"/>
        <v>#N/A</v>
      </c>
      <c r="O272" s="2" t="e">
        <f t="shared" si="143"/>
        <v>#N/A</v>
      </c>
      <c r="P272" s="2" t="e">
        <f t="shared" si="144"/>
        <v>#N/A</v>
      </c>
      <c r="R272" s="2" t="e">
        <f t="shared" si="145"/>
        <v>#N/A</v>
      </c>
      <c r="S272" s="2" t="e">
        <f t="shared" si="146"/>
        <v>#N/A</v>
      </c>
      <c r="U272" s="2" t="e">
        <f t="shared" si="147"/>
        <v>#N/A</v>
      </c>
      <c r="V272" s="2" t="e">
        <f t="shared" si="148"/>
        <v>#N/A</v>
      </c>
      <c r="X272" s="2" t="e">
        <f t="shared" si="149"/>
        <v>#N/A</v>
      </c>
      <c r="Y272" s="2" t="e">
        <f t="shared" si="150"/>
        <v>#N/A</v>
      </c>
      <c r="AA272" s="2" t="e">
        <f t="shared" si="151"/>
        <v>#N/A</v>
      </c>
      <c r="AB272" s="2" t="e">
        <f t="shared" si="152"/>
        <v>#N/A</v>
      </c>
      <c r="BB272" s="5"/>
      <c r="BC272" s="5"/>
      <c r="BD272" s="5"/>
      <c r="BE272" s="5"/>
      <c r="BF272" s="5"/>
      <c r="BG272" s="5"/>
      <c r="BH272" s="5"/>
    </row>
    <row r="273" spans="1:60" s="2" customFormat="1">
      <c r="A273" s="70">
        <v>45</v>
      </c>
      <c r="C273" s="2" t="e">
        <f t="shared" si="135"/>
        <v>#N/A</v>
      </c>
      <c r="D273" s="2" t="e">
        <f t="shared" si="136"/>
        <v>#N/A</v>
      </c>
      <c r="F273" s="2" t="e">
        <f t="shared" si="137"/>
        <v>#N/A</v>
      </c>
      <c r="G273" s="2" t="e">
        <f t="shared" si="138"/>
        <v>#N/A</v>
      </c>
      <c r="I273" s="2" t="e">
        <f t="shared" si="139"/>
        <v>#N/A</v>
      </c>
      <c r="J273" s="2" t="e">
        <f t="shared" si="140"/>
        <v>#N/A</v>
      </c>
      <c r="L273" s="2" t="e">
        <f t="shared" si="141"/>
        <v>#N/A</v>
      </c>
      <c r="M273" s="2" t="e">
        <f t="shared" si="142"/>
        <v>#N/A</v>
      </c>
      <c r="O273" s="2" t="e">
        <f t="shared" si="143"/>
        <v>#N/A</v>
      </c>
      <c r="P273" s="2" t="e">
        <f t="shared" si="144"/>
        <v>#N/A</v>
      </c>
      <c r="R273" s="2" t="e">
        <f t="shared" si="145"/>
        <v>#N/A</v>
      </c>
      <c r="S273" s="2" t="e">
        <f t="shared" si="146"/>
        <v>#N/A</v>
      </c>
      <c r="U273" s="2" t="e">
        <f t="shared" si="147"/>
        <v>#N/A</v>
      </c>
      <c r="V273" s="2" t="e">
        <f t="shared" si="148"/>
        <v>#N/A</v>
      </c>
      <c r="X273" s="2" t="e">
        <f t="shared" si="149"/>
        <v>#N/A</v>
      </c>
      <c r="Y273" s="2" t="e">
        <f t="shared" si="150"/>
        <v>#N/A</v>
      </c>
      <c r="AA273" s="2" t="e">
        <f t="shared" si="151"/>
        <v>#N/A</v>
      </c>
      <c r="AB273" s="2" t="e">
        <f t="shared" si="152"/>
        <v>#N/A</v>
      </c>
      <c r="BB273" s="5"/>
      <c r="BC273" s="5"/>
      <c r="BD273" s="5"/>
      <c r="BE273" s="5"/>
      <c r="BF273" s="5"/>
      <c r="BG273" s="5"/>
      <c r="BH273" s="5"/>
    </row>
    <row r="274" spans="1:60" s="2" customFormat="1">
      <c r="A274" s="70">
        <v>60</v>
      </c>
      <c r="C274" s="2" t="e">
        <f t="shared" si="135"/>
        <v>#N/A</v>
      </c>
      <c r="D274" s="2" t="e">
        <f t="shared" si="136"/>
        <v>#N/A</v>
      </c>
      <c r="F274" s="2" t="e">
        <f t="shared" si="137"/>
        <v>#N/A</v>
      </c>
      <c r="G274" s="2" t="e">
        <f t="shared" si="138"/>
        <v>#N/A</v>
      </c>
      <c r="I274" s="2" t="e">
        <f t="shared" si="139"/>
        <v>#N/A</v>
      </c>
      <c r="J274" s="2" t="e">
        <f t="shared" si="140"/>
        <v>#N/A</v>
      </c>
      <c r="L274" s="2" t="e">
        <f t="shared" si="141"/>
        <v>#N/A</v>
      </c>
      <c r="M274" s="2" t="e">
        <f t="shared" si="142"/>
        <v>#N/A</v>
      </c>
      <c r="O274" s="2" t="e">
        <f t="shared" si="143"/>
        <v>#N/A</v>
      </c>
      <c r="P274" s="2" t="e">
        <f t="shared" si="144"/>
        <v>#N/A</v>
      </c>
      <c r="R274" s="2" t="e">
        <f t="shared" si="145"/>
        <v>#N/A</v>
      </c>
      <c r="S274" s="2" t="e">
        <f t="shared" si="146"/>
        <v>#N/A</v>
      </c>
      <c r="U274" s="2" t="e">
        <f t="shared" si="147"/>
        <v>#N/A</v>
      </c>
      <c r="V274" s="2" t="e">
        <f t="shared" si="148"/>
        <v>#N/A</v>
      </c>
      <c r="X274" s="2" t="e">
        <f t="shared" si="149"/>
        <v>#N/A</v>
      </c>
      <c r="Y274" s="2" t="e">
        <f t="shared" si="150"/>
        <v>#N/A</v>
      </c>
      <c r="AA274" s="2" t="e">
        <f t="shared" si="151"/>
        <v>#N/A</v>
      </c>
      <c r="AB274" s="2" t="e">
        <f t="shared" si="152"/>
        <v>#N/A</v>
      </c>
      <c r="BB274" s="5"/>
      <c r="BC274" s="5"/>
      <c r="BD274" s="5"/>
      <c r="BE274" s="5"/>
      <c r="BF274" s="5"/>
      <c r="BG274" s="5"/>
      <c r="BH274" s="5"/>
    </row>
    <row r="275" spans="1:60" s="2" customFormat="1">
      <c r="A275" s="70">
        <v>75</v>
      </c>
      <c r="C275" s="2" t="e">
        <f t="shared" si="135"/>
        <v>#N/A</v>
      </c>
      <c r="D275" s="2" t="e">
        <f t="shared" si="136"/>
        <v>#N/A</v>
      </c>
      <c r="F275" s="2" t="e">
        <f t="shared" si="137"/>
        <v>#N/A</v>
      </c>
      <c r="G275" s="2" t="e">
        <f t="shared" si="138"/>
        <v>#N/A</v>
      </c>
      <c r="I275" s="2" t="e">
        <f t="shared" si="139"/>
        <v>#N/A</v>
      </c>
      <c r="J275" s="2" t="e">
        <f t="shared" si="140"/>
        <v>#N/A</v>
      </c>
      <c r="L275" s="2" t="e">
        <f t="shared" si="141"/>
        <v>#N/A</v>
      </c>
      <c r="M275" s="2" t="e">
        <f t="shared" si="142"/>
        <v>#N/A</v>
      </c>
      <c r="O275" s="2" t="e">
        <f t="shared" si="143"/>
        <v>#N/A</v>
      </c>
      <c r="P275" s="2" t="e">
        <f t="shared" si="144"/>
        <v>#N/A</v>
      </c>
      <c r="R275" s="2" t="e">
        <f t="shared" si="145"/>
        <v>#N/A</v>
      </c>
      <c r="S275" s="2" t="e">
        <f t="shared" si="146"/>
        <v>#N/A</v>
      </c>
      <c r="U275" s="2" t="e">
        <f t="shared" si="147"/>
        <v>#N/A</v>
      </c>
      <c r="V275" s="2" t="e">
        <f t="shared" si="148"/>
        <v>#N/A</v>
      </c>
      <c r="X275" s="2" t="e">
        <f t="shared" si="149"/>
        <v>#N/A</v>
      </c>
      <c r="Y275" s="2" t="e">
        <f t="shared" si="150"/>
        <v>#N/A</v>
      </c>
      <c r="AA275" s="2" t="e">
        <f t="shared" si="151"/>
        <v>#N/A</v>
      </c>
      <c r="AB275" s="2" t="e">
        <f t="shared" si="152"/>
        <v>#N/A</v>
      </c>
      <c r="BB275" s="5"/>
      <c r="BC275" s="5"/>
      <c r="BD275" s="5"/>
      <c r="BE275" s="5"/>
      <c r="BF275" s="5"/>
      <c r="BG275" s="5"/>
      <c r="BH275" s="5"/>
    </row>
    <row r="276" spans="1:60" s="2" customFormat="1">
      <c r="A276" s="70">
        <v>90</v>
      </c>
      <c r="C276" s="2" t="e">
        <f t="shared" si="135"/>
        <v>#N/A</v>
      </c>
      <c r="D276" s="2" t="e">
        <f t="shared" si="136"/>
        <v>#N/A</v>
      </c>
      <c r="F276" s="2" t="e">
        <f t="shared" si="137"/>
        <v>#N/A</v>
      </c>
      <c r="G276" s="2" t="e">
        <f t="shared" si="138"/>
        <v>#N/A</v>
      </c>
      <c r="I276" s="2" t="e">
        <f t="shared" si="139"/>
        <v>#N/A</v>
      </c>
      <c r="J276" s="2" t="e">
        <f t="shared" si="140"/>
        <v>#N/A</v>
      </c>
      <c r="L276" s="2" t="e">
        <f t="shared" si="141"/>
        <v>#N/A</v>
      </c>
      <c r="M276" s="2" t="e">
        <f t="shared" si="142"/>
        <v>#N/A</v>
      </c>
      <c r="O276" s="2" t="e">
        <f t="shared" si="143"/>
        <v>#N/A</v>
      </c>
      <c r="P276" s="2" t="e">
        <f t="shared" si="144"/>
        <v>#N/A</v>
      </c>
      <c r="R276" s="2" t="e">
        <f t="shared" si="145"/>
        <v>#N/A</v>
      </c>
      <c r="S276" s="2" t="e">
        <f t="shared" si="146"/>
        <v>#N/A</v>
      </c>
      <c r="U276" s="2" t="e">
        <f t="shared" si="147"/>
        <v>#N/A</v>
      </c>
      <c r="V276" s="2" t="e">
        <f t="shared" si="148"/>
        <v>#N/A</v>
      </c>
      <c r="X276" s="2" t="e">
        <f t="shared" si="149"/>
        <v>#N/A</v>
      </c>
      <c r="Y276" s="2" t="e">
        <f t="shared" si="150"/>
        <v>#N/A</v>
      </c>
      <c r="AA276" s="2" t="e">
        <f t="shared" si="151"/>
        <v>#N/A</v>
      </c>
      <c r="AB276" s="2" t="e">
        <f t="shared" si="152"/>
        <v>#N/A</v>
      </c>
      <c r="BB276" s="5"/>
      <c r="BC276" s="5"/>
      <c r="BD276" s="5"/>
      <c r="BE276" s="5"/>
      <c r="BF276" s="5"/>
      <c r="BG276" s="5"/>
      <c r="BH276" s="5"/>
    </row>
    <row r="277" spans="1:60" s="2" customFormat="1">
      <c r="A277" s="70">
        <v>105</v>
      </c>
      <c r="C277" s="2" t="e">
        <f t="shared" si="135"/>
        <v>#N/A</v>
      </c>
      <c r="D277" s="2" t="e">
        <f t="shared" si="136"/>
        <v>#N/A</v>
      </c>
      <c r="F277" s="2" t="e">
        <f t="shared" si="137"/>
        <v>#N/A</v>
      </c>
      <c r="G277" s="2" t="e">
        <f t="shared" si="138"/>
        <v>#N/A</v>
      </c>
      <c r="I277" s="2" t="e">
        <f t="shared" si="139"/>
        <v>#N/A</v>
      </c>
      <c r="J277" s="2" t="e">
        <f t="shared" si="140"/>
        <v>#N/A</v>
      </c>
      <c r="L277" s="2" t="e">
        <f t="shared" si="141"/>
        <v>#N/A</v>
      </c>
      <c r="M277" s="2" t="e">
        <f t="shared" si="142"/>
        <v>#N/A</v>
      </c>
      <c r="O277" s="2" t="e">
        <f t="shared" si="143"/>
        <v>#N/A</v>
      </c>
      <c r="P277" s="2" t="e">
        <f t="shared" si="144"/>
        <v>#N/A</v>
      </c>
      <c r="R277" s="2" t="e">
        <f t="shared" si="145"/>
        <v>#N/A</v>
      </c>
      <c r="S277" s="2" t="e">
        <f t="shared" si="146"/>
        <v>#N/A</v>
      </c>
      <c r="U277" s="2" t="e">
        <f t="shared" si="147"/>
        <v>#N/A</v>
      </c>
      <c r="V277" s="2" t="e">
        <f t="shared" si="148"/>
        <v>#N/A</v>
      </c>
      <c r="X277" s="2" t="e">
        <f t="shared" si="149"/>
        <v>#N/A</v>
      </c>
      <c r="Y277" s="2" t="e">
        <f t="shared" si="150"/>
        <v>#N/A</v>
      </c>
      <c r="AA277" s="2" t="e">
        <f t="shared" si="151"/>
        <v>#N/A</v>
      </c>
      <c r="AB277" s="2" t="e">
        <f t="shared" si="152"/>
        <v>#N/A</v>
      </c>
      <c r="BB277" s="5"/>
      <c r="BC277" s="5"/>
      <c r="BD277" s="5"/>
      <c r="BE277" s="5"/>
      <c r="BF277" s="5"/>
      <c r="BG277" s="5"/>
      <c r="BH277" s="5"/>
    </row>
    <row r="278" spans="1:60" s="2" customFormat="1">
      <c r="A278" s="70">
        <v>120</v>
      </c>
      <c r="C278" s="2" t="e">
        <f t="shared" si="135"/>
        <v>#N/A</v>
      </c>
      <c r="D278" s="2" t="e">
        <f t="shared" si="136"/>
        <v>#N/A</v>
      </c>
      <c r="F278" s="2" t="e">
        <f t="shared" si="137"/>
        <v>#N/A</v>
      </c>
      <c r="G278" s="2" t="e">
        <f t="shared" si="138"/>
        <v>#N/A</v>
      </c>
      <c r="I278" s="2" t="e">
        <f t="shared" si="139"/>
        <v>#N/A</v>
      </c>
      <c r="J278" s="2" t="e">
        <f t="shared" si="140"/>
        <v>#N/A</v>
      </c>
      <c r="L278" s="2" t="e">
        <f t="shared" si="141"/>
        <v>#N/A</v>
      </c>
      <c r="M278" s="2" t="e">
        <f t="shared" si="142"/>
        <v>#N/A</v>
      </c>
      <c r="O278" s="2" t="e">
        <f t="shared" si="143"/>
        <v>#N/A</v>
      </c>
      <c r="P278" s="2" t="e">
        <f t="shared" si="144"/>
        <v>#N/A</v>
      </c>
      <c r="R278" s="2" t="e">
        <f t="shared" si="145"/>
        <v>#N/A</v>
      </c>
      <c r="S278" s="2" t="e">
        <f t="shared" si="146"/>
        <v>#N/A</v>
      </c>
      <c r="U278" s="2" t="e">
        <f t="shared" si="147"/>
        <v>#N/A</v>
      </c>
      <c r="V278" s="2" t="e">
        <f t="shared" si="148"/>
        <v>#N/A</v>
      </c>
      <c r="X278" s="2" t="e">
        <f t="shared" si="149"/>
        <v>#N/A</v>
      </c>
      <c r="Y278" s="2" t="e">
        <f t="shared" si="150"/>
        <v>#N/A</v>
      </c>
      <c r="AA278" s="2" t="e">
        <f t="shared" si="151"/>
        <v>#N/A</v>
      </c>
      <c r="AB278" s="2" t="e">
        <f t="shared" si="152"/>
        <v>#N/A</v>
      </c>
      <c r="BB278" s="5"/>
      <c r="BC278" s="5"/>
      <c r="BD278" s="5"/>
      <c r="BE278" s="5"/>
      <c r="BF278" s="5"/>
      <c r="BG278" s="5"/>
      <c r="BH278" s="5"/>
    </row>
    <row r="279" spans="1:60" s="2" customFormat="1">
      <c r="A279" s="70">
        <v>135</v>
      </c>
      <c r="C279" s="2" t="e">
        <f t="shared" si="135"/>
        <v>#N/A</v>
      </c>
      <c r="D279" s="2" t="e">
        <f t="shared" si="136"/>
        <v>#N/A</v>
      </c>
      <c r="F279" s="2" t="e">
        <f t="shared" si="137"/>
        <v>#N/A</v>
      </c>
      <c r="G279" s="2" t="e">
        <f t="shared" si="138"/>
        <v>#N/A</v>
      </c>
      <c r="I279" s="2" t="e">
        <f t="shared" si="139"/>
        <v>#N/A</v>
      </c>
      <c r="J279" s="2" t="e">
        <f t="shared" si="140"/>
        <v>#N/A</v>
      </c>
      <c r="L279" s="2" t="e">
        <f t="shared" si="141"/>
        <v>#N/A</v>
      </c>
      <c r="M279" s="2" t="e">
        <f t="shared" si="142"/>
        <v>#N/A</v>
      </c>
      <c r="O279" s="2" t="e">
        <f t="shared" si="143"/>
        <v>#N/A</v>
      </c>
      <c r="P279" s="2" t="e">
        <f t="shared" si="144"/>
        <v>#N/A</v>
      </c>
      <c r="R279" s="2" t="e">
        <f t="shared" si="145"/>
        <v>#N/A</v>
      </c>
      <c r="S279" s="2" t="e">
        <f t="shared" si="146"/>
        <v>#N/A</v>
      </c>
      <c r="U279" s="2" t="e">
        <f t="shared" si="147"/>
        <v>#N/A</v>
      </c>
      <c r="V279" s="2" t="e">
        <f t="shared" si="148"/>
        <v>#N/A</v>
      </c>
      <c r="X279" s="2" t="e">
        <f t="shared" si="149"/>
        <v>#N/A</v>
      </c>
      <c r="Y279" s="2" t="e">
        <f t="shared" si="150"/>
        <v>#N/A</v>
      </c>
      <c r="AA279" s="2" t="e">
        <f t="shared" si="151"/>
        <v>#N/A</v>
      </c>
      <c r="AB279" s="2" t="e">
        <f t="shared" si="152"/>
        <v>#N/A</v>
      </c>
      <c r="BB279" s="5"/>
      <c r="BC279" s="5"/>
      <c r="BD279" s="5"/>
      <c r="BE279" s="5"/>
      <c r="BF279" s="5"/>
      <c r="BG279" s="5"/>
      <c r="BH279" s="5"/>
    </row>
    <row r="280" spans="1:60" s="2" customFormat="1">
      <c r="A280" s="70">
        <v>150</v>
      </c>
      <c r="C280" s="2" t="e">
        <f t="shared" si="135"/>
        <v>#N/A</v>
      </c>
      <c r="D280" s="2" t="e">
        <f t="shared" si="136"/>
        <v>#N/A</v>
      </c>
      <c r="F280" s="2" t="e">
        <f t="shared" si="137"/>
        <v>#N/A</v>
      </c>
      <c r="G280" s="2" t="e">
        <f t="shared" si="138"/>
        <v>#N/A</v>
      </c>
      <c r="I280" s="2" t="e">
        <f t="shared" si="139"/>
        <v>#N/A</v>
      </c>
      <c r="J280" s="2" t="e">
        <f t="shared" si="140"/>
        <v>#N/A</v>
      </c>
      <c r="L280" s="2" t="e">
        <f t="shared" si="141"/>
        <v>#N/A</v>
      </c>
      <c r="M280" s="2" t="e">
        <f t="shared" si="142"/>
        <v>#N/A</v>
      </c>
      <c r="O280" s="2" t="e">
        <f t="shared" si="143"/>
        <v>#N/A</v>
      </c>
      <c r="P280" s="2" t="e">
        <f t="shared" si="144"/>
        <v>#N/A</v>
      </c>
      <c r="R280" s="2" t="e">
        <f t="shared" si="145"/>
        <v>#N/A</v>
      </c>
      <c r="S280" s="2" t="e">
        <f t="shared" si="146"/>
        <v>#N/A</v>
      </c>
      <c r="U280" s="2" t="e">
        <f t="shared" si="147"/>
        <v>#N/A</v>
      </c>
      <c r="V280" s="2" t="e">
        <f t="shared" si="148"/>
        <v>#N/A</v>
      </c>
      <c r="X280" s="2" t="e">
        <f t="shared" si="149"/>
        <v>#N/A</v>
      </c>
      <c r="Y280" s="2" t="e">
        <f t="shared" si="150"/>
        <v>#N/A</v>
      </c>
      <c r="AA280" s="2" t="e">
        <f t="shared" si="151"/>
        <v>#N/A</v>
      </c>
      <c r="AB280" s="2" t="e">
        <f t="shared" si="152"/>
        <v>#N/A</v>
      </c>
      <c r="BB280" s="5"/>
      <c r="BC280" s="5"/>
      <c r="BD280" s="5"/>
      <c r="BE280" s="5"/>
      <c r="BF280" s="5"/>
      <c r="BG280" s="5"/>
      <c r="BH280" s="5"/>
    </row>
    <row r="281" spans="1:60" s="2" customFormat="1">
      <c r="A281" s="70">
        <v>165</v>
      </c>
      <c r="C281" s="2" t="e">
        <f t="shared" si="135"/>
        <v>#N/A</v>
      </c>
      <c r="D281" s="2" t="e">
        <f t="shared" si="136"/>
        <v>#N/A</v>
      </c>
      <c r="F281" s="2" t="e">
        <f t="shared" si="137"/>
        <v>#N/A</v>
      </c>
      <c r="G281" s="2" t="e">
        <f t="shared" si="138"/>
        <v>#N/A</v>
      </c>
      <c r="I281" s="2" t="e">
        <f t="shared" si="139"/>
        <v>#N/A</v>
      </c>
      <c r="J281" s="2" t="e">
        <f t="shared" si="140"/>
        <v>#N/A</v>
      </c>
      <c r="L281" s="2" t="e">
        <f t="shared" si="141"/>
        <v>#N/A</v>
      </c>
      <c r="M281" s="2" t="e">
        <f t="shared" si="142"/>
        <v>#N/A</v>
      </c>
      <c r="O281" s="2" t="e">
        <f t="shared" si="143"/>
        <v>#N/A</v>
      </c>
      <c r="P281" s="2" t="e">
        <f t="shared" si="144"/>
        <v>#N/A</v>
      </c>
      <c r="R281" s="2" t="e">
        <f t="shared" si="145"/>
        <v>#N/A</v>
      </c>
      <c r="S281" s="2" t="e">
        <f t="shared" si="146"/>
        <v>#N/A</v>
      </c>
      <c r="U281" s="2" t="e">
        <f t="shared" si="147"/>
        <v>#N/A</v>
      </c>
      <c r="V281" s="2" t="e">
        <f t="shared" si="148"/>
        <v>#N/A</v>
      </c>
      <c r="X281" s="2" t="e">
        <f t="shared" si="149"/>
        <v>#N/A</v>
      </c>
      <c r="Y281" s="2" t="e">
        <f t="shared" si="150"/>
        <v>#N/A</v>
      </c>
      <c r="AA281" s="2" t="e">
        <f t="shared" si="151"/>
        <v>#N/A</v>
      </c>
      <c r="AB281" s="2" t="e">
        <f t="shared" si="152"/>
        <v>#N/A</v>
      </c>
      <c r="BB281" s="5"/>
      <c r="BC281" s="5"/>
      <c r="BD281" s="5"/>
      <c r="BE281" s="5"/>
      <c r="BF281" s="5"/>
      <c r="BG281" s="5"/>
      <c r="BH281" s="5"/>
    </row>
    <row r="282" spans="1:60" s="2" customFormat="1">
      <c r="A282" s="70">
        <v>180</v>
      </c>
      <c r="C282" s="2" t="e">
        <f t="shared" si="135"/>
        <v>#N/A</v>
      </c>
      <c r="D282" s="2" t="e">
        <f t="shared" si="136"/>
        <v>#N/A</v>
      </c>
      <c r="F282" s="2" t="e">
        <f t="shared" si="137"/>
        <v>#N/A</v>
      </c>
      <c r="G282" s="2" t="e">
        <f t="shared" si="138"/>
        <v>#N/A</v>
      </c>
      <c r="I282" s="2" t="e">
        <f t="shared" si="139"/>
        <v>#N/A</v>
      </c>
      <c r="J282" s="2" t="e">
        <f t="shared" si="140"/>
        <v>#N/A</v>
      </c>
      <c r="L282" s="2" t="e">
        <f t="shared" si="141"/>
        <v>#N/A</v>
      </c>
      <c r="M282" s="2" t="e">
        <f t="shared" si="142"/>
        <v>#N/A</v>
      </c>
      <c r="O282" s="2" t="e">
        <f t="shared" si="143"/>
        <v>#N/A</v>
      </c>
      <c r="P282" s="2" t="e">
        <f t="shared" si="144"/>
        <v>#N/A</v>
      </c>
      <c r="R282" s="2" t="e">
        <f t="shared" si="145"/>
        <v>#N/A</v>
      </c>
      <c r="S282" s="2" t="e">
        <f t="shared" si="146"/>
        <v>#N/A</v>
      </c>
      <c r="U282" s="2" t="e">
        <f t="shared" si="147"/>
        <v>#N/A</v>
      </c>
      <c r="V282" s="2" t="e">
        <f t="shared" si="148"/>
        <v>#N/A</v>
      </c>
      <c r="X282" s="2" t="e">
        <f t="shared" si="149"/>
        <v>#N/A</v>
      </c>
      <c r="Y282" s="2" t="e">
        <f t="shared" si="150"/>
        <v>#N/A</v>
      </c>
      <c r="AA282" s="2" t="e">
        <f t="shared" si="151"/>
        <v>#N/A</v>
      </c>
      <c r="AB282" s="2" t="e">
        <f t="shared" si="152"/>
        <v>#N/A</v>
      </c>
      <c r="BB282" s="5"/>
      <c r="BC282" s="5"/>
      <c r="BD282" s="5"/>
      <c r="BE282" s="5"/>
      <c r="BF282" s="5"/>
      <c r="BG282" s="5"/>
      <c r="BH282" s="5"/>
    </row>
    <row r="283" spans="1:60" s="2" customFormat="1">
      <c r="A283" s="70">
        <v>195</v>
      </c>
      <c r="C283" s="2" t="e">
        <f t="shared" si="135"/>
        <v>#N/A</v>
      </c>
      <c r="D283" s="2" t="e">
        <f t="shared" si="136"/>
        <v>#N/A</v>
      </c>
      <c r="F283" s="2" t="e">
        <f t="shared" si="137"/>
        <v>#N/A</v>
      </c>
      <c r="G283" s="2" t="e">
        <f t="shared" si="138"/>
        <v>#N/A</v>
      </c>
      <c r="I283" s="2" t="e">
        <f t="shared" si="139"/>
        <v>#N/A</v>
      </c>
      <c r="J283" s="2" t="e">
        <f t="shared" si="140"/>
        <v>#N/A</v>
      </c>
      <c r="L283" s="2" t="e">
        <f t="shared" si="141"/>
        <v>#N/A</v>
      </c>
      <c r="M283" s="2" t="e">
        <f t="shared" si="142"/>
        <v>#N/A</v>
      </c>
      <c r="O283" s="2" t="e">
        <f t="shared" si="143"/>
        <v>#N/A</v>
      </c>
      <c r="P283" s="2" t="e">
        <f t="shared" si="144"/>
        <v>#N/A</v>
      </c>
      <c r="R283" s="2" t="e">
        <f t="shared" si="145"/>
        <v>#N/A</v>
      </c>
      <c r="S283" s="2" t="e">
        <f t="shared" si="146"/>
        <v>#N/A</v>
      </c>
      <c r="U283" s="2" t="e">
        <f t="shared" si="147"/>
        <v>#N/A</v>
      </c>
      <c r="V283" s="2" t="e">
        <f t="shared" si="148"/>
        <v>#N/A</v>
      </c>
      <c r="X283" s="2" t="e">
        <f t="shared" si="149"/>
        <v>#N/A</v>
      </c>
      <c r="Y283" s="2" t="e">
        <f t="shared" si="150"/>
        <v>#N/A</v>
      </c>
      <c r="AA283" s="2" t="e">
        <f t="shared" si="151"/>
        <v>#N/A</v>
      </c>
      <c r="AB283" s="2" t="e">
        <f t="shared" si="152"/>
        <v>#N/A</v>
      </c>
      <c r="BB283" s="5"/>
      <c r="BC283" s="5"/>
      <c r="BD283" s="5"/>
      <c r="BE283" s="5"/>
      <c r="BF283" s="5"/>
      <c r="BG283" s="5"/>
      <c r="BH283" s="5"/>
    </row>
    <row r="284" spans="1:60" s="2" customFormat="1">
      <c r="A284" s="70">
        <v>210</v>
      </c>
      <c r="C284" s="2" t="e">
        <f t="shared" si="135"/>
        <v>#N/A</v>
      </c>
      <c r="D284" s="2" t="e">
        <f t="shared" si="136"/>
        <v>#N/A</v>
      </c>
      <c r="F284" s="2" t="e">
        <f t="shared" si="137"/>
        <v>#N/A</v>
      </c>
      <c r="G284" s="2" t="e">
        <f t="shared" si="138"/>
        <v>#N/A</v>
      </c>
      <c r="I284" s="2" t="e">
        <f t="shared" si="139"/>
        <v>#N/A</v>
      </c>
      <c r="J284" s="2" t="e">
        <f t="shared" si="140"/>
        <v>#N/A</v>
      </c>
      <c r="L284" s="2" t="e">
        <f t="shared" si="141"/>
        <v>#N/A</v>
      </c>
      <c r="M284" s="2" t="e">
        <f t="shared" si="142"/>
        <v>#N/A</v>
      </c>
      <c r="O284" s="2" t="e">
        <f t="shared" si="143"/>
        <v>#N/A</v>
      </c>
      <c r="P284" s="2" t="e">
        <f t="shared" si="144"/>
        <v>#N/A</v>
      </c>
      <c r="R284" s="2" t="e">
        <f t="shared" si="145"/>
        <v>#N/A</v>
      </c>
      <c r="S284" s="2" t="e">
        <f t="shared" si="146"/>
        <v>#N/A</v>
      </c>
      <c r="U284" s="2" t="e">
        <f t="shared" si="147"/>
        <v>#N/A</v>
      </c>
      <c r="V284" s="2" t="e">
        <f t="shared" si="148"/>
        <v>#N/A</v>
      </c>
      <c r="X284" s="2" t="e">
        <f t="shared" si="149"/>
        <v>#N/A</v>
      </c>
      <c r="Y284" s="2" t="e">
        <f t="shared" si="150"/>
        <v>#N/A</v>
      </c>
      <c r="AA284" s="2" t="e">
        <f t="shared" si="151"/>
        <v>#N/A</v>
      </c>
      <c r="AB284" s="2" t="e">
        <f t="shared" si="152"/>
        <v>#N/A</v>
      </c>
      <c r="BB284" s="5"/>
      <c r="BC284" s="5"/>
      <c r="BD284" s="5"/>
      <c r="BE284" s="5"/>
      <c r="BF284" s="5"/>
      <c r="BG284" s="5"/>
      <c r="BH284" s="5"/>
    </row>
    <row r="285" spans="1:60" s="2" customFormat="1">
      <c r="A285" s="70">
        <v>225</v>
      </c>
      <c r="C285" s="2" t="e">
        <f t="shared" si="135"/>
        <v>#N/A</v>
      </c>
      <c r="D285" s="2" t="e">
        <f t="shared" si="136"/>
        <v>#N/A</v>
      </c>
      <c r="F285" s="2" t="e">
        <f t="shared" si="137"/>
        <v>#N/A</v>
      </c>
      <c r="G285" s="2" t="e">
        <f t="shared" si="138"/>
        <v>#N/A</v>
      </c>
      <c r="I285" s="2" t="e">
        <f t="shared" si="139"/>
        <v>#N/A</v>
      </c>
      <c r="J285" s="2" t="e">
        <f t="shared" si="140"/>
        <v>#N/A</v>
      </c>
      <c r="L285" s="2" t="e">
        <f t="shared" si="141"/>
        <v>#N/A</v>
      </c>
      <c r="M285" s="2" t="e">
        <f t="shared" si="142"/>
        <v>#N/A</v>
      </c>
      <c r="O285" s="2" t="e">
        <f t="shared" si="143"/>
        <v>#N/A</v>
      </c>
      <c r="P285" s="2" t="e">
        <f t="shared" si="144"/>
        <v>#N/A</v>
      </c>
      <c r="R285" s="2" t="e">
        <f t="shared" si="145"/>
        <v>#N/A</v>
      </c>
      <c r="S285" s="2" t="e">
        <f t="shared" si="146"/>
        <v>#N/A</v>
      </c>
      <c r="U285" s="2" t="e">
        <f t="shared" si="147"/>
        <v>#N/A</v>
      </c>
      <c r="V285" s="2" t="e">
        <f t="shared" si="148"/>
        <v>#N/A</v>
      </c>
      <c r="X285" s="2" t="e">
        <f t="shared" si="149"/>
        <v>#N/A</v>
      </c>
      <c r="Y285" s="2" t="e">
        <f t="shared" si="150"/>
        <v>#N/A</v>
      </c>
      <c r="AA285" s="2" t="e">
        <f t="shared" si="151"/>
        <v>#N/A</v>
      </c>
      <c r="AB285" s="2" t="e">
        <f t="shared" si="152"/>
        <v>#N/A</v>
      </c>
      <c r="BB285" s="5"/>
      <c r="BC285" s="5"/>
      <c r="BD285" s="5"/>
      <c r="BE285" s="5"/>
      <c r="BF285" s="5"/>
      <c r="BG285" s="5"/>
      <c r="BH285" s="5"/>
    </row>
    <row r="286" spans="1:60" s="2" customFormat="1">
      <c r="A286" s="70">
        <v>240</v>
      </c>
      <c r="C286" s="2" t="e">
        <f t="shared" si="135"/>
        <v>#N/A</v>
      </c>
      <c r="D286" s="2" t="e">
        <f t="shared" si="136"/>
        <v>#N/A</v>
      </c>
      <c r="F286" s="2" t="e">
        <f t="shared" si="137"/>
        <v>#N/A</v>
      </c>
      <c r="G286" s="2" t="e">
        <f t="shared" si="138"/>
        <v>#N/A</v>
      </c>
      <c r="I286" s="2" t="e">
        <f t="shared" si="139"/>
        <v>#N/A</v>
      </c>
      <c r="J286" s="2" t="e">
        <f t="shared" si="140"/>
        <v>#N/A</v>
      </c>
      <c r="L286" s="2" t="e">
        <f t="shared" si="141"/>
        <v>#N/A</v>
      </c>
      <c r="M286" s="2" t="e">
        <f t="shared" si="142"/>
        <v>#N/A</v>
      </c>
      <c r="O286" s="2" t="e">
        <f t="shared" si="143"/>
        <v>#N/A</v>
      </c>
      <c r="P286" s="2" t="e">
        <f t="shared" si="144"/>
        <v>#N/A</v>
      </c>
      <c r="R286" s="2" t="e">
        <f t="shared" si="145"/>
        <v>#N/A</v>
      </c>
      <c r="S286" s="2" t="e">
        <f t="shared" si="146"/>
        <v>#N/A</v>
      </c>
      <c r="U286" s="2" t="e">
        <f t="shared" si="147"/>
        <v>#N/A</v>
      </c>
      <c r="V286" s="2" t="e">
        <f t="shared" si="148"/>
        <v>#N/A</v>
      </c>
      <c r="X286" s="2" t="e">
        <f t="shared" si="149"/>
        <v>#N/A</v>
      </c>
      <c r="Y286" s="2" t="e">
        <f t="shared" si="150"/>
        <v>#N/A</v>
      </c>
      <c r="AA286" s="2" t="e">
        <f t="shared" si="151"/>
        <v>#N/A</v>
      </c>
      <c r="AB286" s="2" t="e">
        <f t="shared" si="152"/>
        <v>#N/A</v>
      </c>
      <c r="BB286" s="5"/>
      <c r="BC286" s="5"/>
      <c r="BD286" s="5"/>
      <c r="BE286" s="5"/>
      <c r="BF286" s="5"/>
      <c r="BG286" s="5"/>
      <c r="BH286" s="5"/>
    </row>
    <row r="287" spans="1:60" s="2" customFormat="1">
      <c r="A287" s="70">
        <v>255</v>
      </c>
      <c r="C287" s="2" t="e">
        <f t="shared" si="135"/>
        <v>#N/A</v>
      </c>
      <c r="D287" s="2" t="e">
        <f t="shared" si="136"/>
        <v>#N/A</v>
      </c>
      <c r="F287" s="2" t="e">
        <f t="shared" si="137"/>
        <v>#N/A</v>
      </c>
      <c r="G287" s="2" t="e">
        <f t="shared" si="138"/>
        <v>#N/A</v>
      </c>
      <c r="I287" s="2" t="e">
        <f t="shared" si="139"/>
        <v>#N/A</v>
      </c>
      <c r="J287" s="2" t="e">
        <f t="shared" si="140"/>
        <v>#N/A</v>
      </c>
      <c r="L287" s="2" t="e">
        <f t="shared" si="141"/>
        <v>#N/A</v>
      </c>
      <c r="M287" s="2" t="e">
        <f t="shared" si="142"/>
        <v>#N/A</v>
      </c>
      <c r="O287" s="2" t="e">
        <f t="shared" si="143"/>
        <v>#N/A</v>
      </c>
      <c r="P287" s="2" t="e">
        <f t="shared" si="144"/>
        <v>#N/A</v>
      </c>
      <c r="R287" s="2" t="e">
        <f t="shared" si="145"/>
        <v>#N/A</v>
      </c>
      <c r="S287" s="2" t="e">
        <f t="shared" si="146"/>
        <v>#N/A</v>
      </c>
      <c r="U287" s="2" t="e">
        <f t="shared" si="147"/>
        <v>#N/A</v>
      </c>
      <c r="V287" s="2" t="e">
        <f t="shared" si="148"/>
        <v>#N/A</v>
      </c>
      <c r="X287" s="2" t="e">
        <f t="shared" si="149"/>
        <v>#N/A</v>
      </c>
      <c r="Y287" s="2" t="e">
        <f t="shared" si="150"/>
        <v>#N/A</v>
      </c>
      <c r="AA287" s="2" t="e">
        <f t="shared" si="151"/>
        <v>#N/A</v>
      </c>
      <c r="AB287" s="2" t="e">
        <f t="shared" si="152"/>
        <v>#N/A</v>
      </c>
      <c r="BB287" s="5"/>
      <c r="BC287" s="5"/>
      <c r="BD287" s="5"/>
      <c r="BE287" s="5"/>
      <c r="BF287" s="5"/>
      <c r="BG287" s="5"/>
      <c r="BH287" s="5"/>
    </row>
    <row r="288" spans="1:60" s="2" customFormat="1">
      <c r="A288" s="70">
        <v>270</v>
      </c>
      <c r="C288" s="2" t="e">
        <f t="shared" si="135"/>
        <v>#N/A</v>
      </c>
      <c r="D288" s="2" t="e">
        <f t="shared" si="136"/>
        <v>#N/A</v>
      </c>
      <c r="F288" s="2" t="e">
        <f t="shared" si="137"/>
        <v>#N/A</v>
      </c>
      <c r="G288" s="2" t="e">
        <f t="shared" si="138"/>
        <v>#N/A</v>
      </c>
      <c r="I288" s="2" t="e">
        <f t="shared" si="139"/>
        <v>#N/A</v>
      </c>
      <c r="J288" s="2" t="e">
        <f t="shared" si="140"/>
        <v>#N/A</v>
      </c>
      <c r="L288" s="2" t="e">
        <f t="shared" si="141"/>
        <v>#N/A</v>
      </c>
      <c r="M288" s="2" t="e">
        <f t="shared" si="142"/>
        <v>#N/A</v>
      </c>
      <c r="O288" s="2" t="e">
        <f t="shared" si="143"/>
        <v>#N/A</v>
      </c>
      <c r="P288" s="2" t="e">
        <f t="shared" si="144"/>
        <v>#N/A</v>
      </c>
      <c r="R288" s="2" t="e">
        <f t="shared" si="145"/>
        <v>#N/A</v>
      </c>
      <c r="S288" s="2" t="e">
        <f t="shared" si="146"/>
        <v>#N/A</v>
      </c>
      <c r="U288" s="2" t="e">
        <f t="shared" si="147"/>
        <v>#N/A</v>
      </c>
      <c r="V288" s="2" t="e">
        <f t="shared" si="148"/>
        <v>#N/A</v>
      </c>
      <c r="X288" s="2" t="e">
        <f t="shared" si="149"/>
        <v>#N/A</v>
      </c>
      <c r="Y288" s="2" t="e">
        <f t="shared" si="150"/>
        <v>#N/A</v>
      </c>
      <c r="AA288" s="2" t="e">
        <f t="shared" si="151"/>
        <v>#N/A</v>
      </c>
      <c r="AB288" s="2" t="e">
        <f t="shared" si="152"/>
        <v>#N/A</v>
      </c>
      <c r="BB288" s="5"/>
      <c r="BC288" s="5"/>
      <c r="BD288" s="5"/>
      <c r="BE288" s="5"/>
      <c r="BF288" s="5"/>
      <c r="BG288" s="5"/>
      <c r="BH288" s="5"/>
    </row>
    <row r="289" spans="1:60" s="2" customFormat="1">
      <c r="A289" s="70">
        <v>285</v>
      </c>
      <c r="C289" s="2" t="e">
        <f t="shared" si="135"/>
        <v>#N/A</v>
      </c>
      <c r="D289" s="2" t="e">
        <f t="shared" si="136"/>
        <v>#N/A</v>
      </c>
      <c r="F289" s="2" t="e">
        <f t="shared" si="137"/>
        <v>#N/A</v>
      </c>
      <c r="G289" s="2" t="e">
        <f t="shared" si="138"/>
        <v>#N/A</v>
      </c>
      <c r="I289" s="2" t="e">
        <f t="shared" si="139"/>
        <v>#N/A</v>
      </c>
      <c r="J289" s="2" t="e">
        <f t="shared" si="140"/>
        <v>#N/A</v>
      </c>
      <c r="L289" s="2" t="e">
        <f t="shared" si="141"/>
        <v>#N/A</v>
      </c>
      <c r="M289" s="2" t="e">
        <f t="shared" si="142"/>
        <v>#N/A</v>
      </c>
      <c r="O289" s="2" t="e">
        <f t="shared" si="143"/>
        <v>#N/A</v>
      </c>
      <c r="P289" s="2" t="e">
        <f t="shared" si="144"/>
        <v>#N/A</v>
      </c>
      <c r="R289" s="2" t="e">
        <f t="shared" si="145"/>
        <v>#N/A</v>
      </c>
      <c r="S289" s="2" t="e">
        <f t="shared" si="146"/>
        <v>#N/A</v>
      </c>
      <c r="U289" s="2" t="e">
        <f t="shared" si="147"/>
        <v>#N/A</v>
      </c>
      <c r="V289" s="2" t="e">
        <f t="shared" si="148"/>
        <v>#N/A</v>
      </c>
      <c r="X289" s="2" t="e">
        <f t="shared" si="149"/>
        <v>#N/A</v>
      </c>
      <c r="Y289" s="2" t="e">
        <f t="shared" si="150"/>
        <v>#N/A</v>
      </c>
      <c r="AA289" s="2" t="e">
        <f t="shared" si="151"/>
        <v>#N/A</v>
      </c>
      <c r="AB289" s="2" t="e">
        <f t="shared" si="152"/>
        <v>#N/A</v>
      </c>
      <c r="BB289" s="5"/>
      <c r="BC289" s="5"/>
      <c r="BD289" s="5"/>
      <c r="BE289" s="5"/>
      <c r="BF289" s="5"/>
      <c r="BG289" s="5"/>
      <c r="BH289" s="5"/>
    </row>
    <row r="290" spans="1:60" s="2" customFormat="1">
      <c r="A290" s="70">
        <v>300</v>
      </c>
      <c r="C290" s="2" t="e">
        <f t="shared" si="135"/>
        <v>#N/A</v>
      </c>
      <c r="D290" s="2" t="e">
        <f t="shared" si="136"/>
        <v>#N/A</v>
      </c>
      <c r="F290" s="2" t="e">
        <f t="shared" si="137"/>
        <v>#N/A</v>
      </c>
      <c r="G290" s="2" t="e">
        <f t="shared" si="138"/>
        <v>#N/A</v>
      </c>
      <c r="I290" s="2" t="e">
        <f t="shared" si="139"/>
        <v>#N/A</v>
      </c>
      <c r="J290" s="2" t="e">
        <f t="shared" si="140"/>
        <v>#N/A</v>
      </c>
      <c r="L290" s="2" t="e">
        <f t="shared" si="141"/>
        <v>#N/A</v>
      </c>
      <c r="M290" s="2" t="e">
        <f t="shared" si="142"/>
        <v>#N/A</v>
      </c>
      <c r="O290" s="2" t="e">
        <f t="shared" si="143"/>
        <v>#N/A</v>
      </c>
      <c r="P290" s="2" t="e">
        <f t="shared" si="144"/>
        <v>#N/A</v>
      </c>
      <c r="R290" s="2" t="e">
        <f t="shared" si="145"/>
        <v>#N/A</v>
      </c>
      <c r="S290" s="2" t="e">
        <f t="shared" si="146"/>
        <v>#N/A</v>
      </c>
      <c r="U290" s="2" t="e">
        <f t="shared" si="147"/>
        <v>#N/A</v>
      </c>
      <c r="V290" s="2" t="e">
        <f t="shared" si="148"/>
        <v>#N/A</v>
      </c>
      <c r="X290" s="2" t="e">
        <f t="shared" si="149"/>
        <v>#N/A</v>
      </c>
      <c r="Y290" s="2" t="e">
        <f t="shared" si="150"/>
        <v>#N/A</v>
      </c>
      <c r="AA290" s="2" t="e">
        <f t="shared" si="151"/>
        <v>#N/A</v>
      </c>
      <c r="AB290" s="2" t="e">
        <f t="shared" si="152"/>
        <v>#N/A</v>
      </c>
      <c r="BB290" s="5"/>
      <c r="BC290" s="5"/>
      <c r="BD290" s="5"/>
      <c r="BE290" s="5"/>
      <c r="BF290" s="5"/>
      <c r="BG290" s="5"/>
      <c r="BH290" s="5"/>
    </row>
    <row r="291" spans="1:60" s="2" customFormat="1">
      <c r="A291" s="70">
        <v>315</v>
      </c>
      <c r="C291" s="2" t="e">
        <f t="shared" si="135"/>
        <v>#N/A</v>
      </c>
      <c r="D291" s="2" t="e">
        <f t="shared" si="136"/>
        <v>#N/A</v>
      </c>
      <c r="F291" s="2" t="e">
        <f t="shared" si="137"/>
        <v>#N/A</v>
      </c>
      <c r="G291" s="2" t="e">
        <f t="shared" si="138"/>
        <v>#N/A</v>
      </c>
      <c r="I291" s="2" t="e">
        <f t="shared" si="139"/>
        <v>#N/A</v>
      </c>
      <c r="J291" s="2" t="e">
        <f t="shared" si="140"/>
        <v>#N/A</v>
      </c>
      <c r="L291" s="2" t="e">
        <f t="shared" si="141"/>
        <v>#N/A</v>
      </c>
      <c r="M291" s="2" t="e">
        <f t="shared" si="142"/>
        <v>#N/A</v>
      </c>
      <c r="O291" s="2" t="e">
        <f t="shared" si="143"/>
        <v>#N/A</v>
      </c>
      <c r="P291" s="2" t="e">
        <f t="shared" si="144"/>
        <v>#N/A</v>
      </c>
      <c r="R291" s="2" t="e">
        <f t="shared" si="145"/>
        <v>#N/A</v>
      </c>
      <c r="S291" s="2" t="e">
        <f t="shared" si="146"/>
        <v>#N/A</v>
      </c>
      <c r="U291" s="2" t="e">
        <f t="shared" si="147"/>
        <v>#N/A</v>
      </c>
      <c r="V291" s="2" t="e">
        <f t="shared" si="148"/>
        <v>#N/A</v>
      </c>
      <c r="X291" s="2" t="e">
        <f t="shared" si="149"/>
        <v>#N/A</v>
      </c>
      <c r="Y291" s="2" t="e">
        <f t="shared" si="150"/>
        <v>#N/A</v>
      </c>
      <c r="AA291" s="2" t="e">
        <f t="shared" si="151"/>
        <v>#N/A</v>
      </c>
      <c r="AB291" s="2" t="e">
        <f t="shared" si="152"/>
        <v>#N/A</v>
      </c>
      <c r="BB291" s="5"/>
      <c r="BC291" s="5"/>
      <c r="BD291" s="5"/>
      <c r="BE291" s="5"/>
      <c r="BF291" s="5"/>
      <c r="BG291" s="5"/>
      <c r="BH291" s="5"/>
    </row>
    <row r="292" spans="1:60" s="2" customFormat="1">
      <c r="A292" s="70">
        <v>330</v>
      </c>
      <c r="C292" s="2" t="e">
        <f t="shared" si="135"/>
        <v>#N/A</v>
      </c>
      <c r="D292" s="2" t="e">
        <f t="shared" si="136"/>
        <v>#N/A</v>
      </c>
      <c r="F292" s="2" t="e">
        <f t="shared" si="137"/>
        <v>#N/A</v>
      </c>
      <c r="G292" s="2" t="e">
        <f t="shared" si="138"/>
        <v>#N/A</v>
      </c>
      <c r="I292" s="2" t="e">
        <f t="shared" si="139"/>
        <v>#N/A</v>
      </c>
      <c r="J292" s="2" t="e">
        <f t="shared" si="140"/>
        <v>#N/A</v>
      </c>
      <c r="L292" s="2" t="e">
        <f t="shared" si="141"/>
        <v>#N/A</v>
      </c>
      <c r="M292" s="2" t="e">
        <f t="shared" si="142"/>
        <v>#N/A</v>
      </c>
      <c r="O292" s="2" t="e">
        <f t="shared" si="143"/>
        <v>#N/A</v>
      </c>
      <c r="P292" s="2" t="e">
        <f t="shared" si="144"/>
        <v>#N/A</v>
      </c>
      <c r="R292" s="2" t="e">
        <f t="shared" si="145"/>
        <v>#N/A</v>
      </c>
      <c r="S292" s="2" t="e">
        <f t="shared" si="146"/>
        <v>#N/A</v>
      </c>
      <c r="U292" s="2" t="e">
        <f t="shared" si="147"/>
        <v>#N/A</v>
      </c>
      <c r="V292" s="2" t="e">
        <f t="shared" si="148"/>
        <v>#N/A</v>
      </c>
      <c r="X292" s="2" t="e">
        <f t="shared" si="149"/>
        <v>#N/A</v>
      </c>
      <c r="Y292" s="2" t="e">
        <f t="shared" si="150"/>
        <v>#N/A</v>
      </c>
      <c r="AA292" s="2" t="e">
        <f t="shared" si="151"/>
        <v>#N/A</v>
      </c>
      <c r="AB292" s="2" t="e">
        <f t="shared" si="152"/>
        <v>#N/A</v>
      </c>
      <c r="BB292" s="5"/>
      <c r="BC292" s="5"/>
      <c r="BD292" s="5"/>
      <c r="BE292" s="5"/>
      <c r="BF292" s="5"/>
      <c r="BG292" s="5"/>
      <c r="BH292" s="5"/>
    </row>
    <row r="293" spans="1:60" s="2" customFormat="1">
      <c r="A293" s="70">
        <v>345</v>
      </c>
      <c r="C293" s="2" t="e">
        <f t="shared" si="135"/>
        <v>#N/A</v>
      </c>
      <c r="D293" s="2" t="e">
        <f t="shared" si="136"/>
        <v>#N/A</v>
      </c>
      <c r="F293" s="2" t="e">
        <f t="shared" si="137"/>
        <v>#N/A</v>
      </c>
      <c r="G293" s="2" t="e">
        <f t="shared" si="138"/>
        <v>#N/A</v>
      </c>
      <c r="I293" s="2" t="e">
        <f t="shared" si="139"/>
        <v>#N/A</v>
      </c>
      <c r="J293" s="2" t="e">
        <f t="shared" si="140"/>
        <v>#N/A</v>
      </c>
      <c r="L293" s="2" t="e">
        <f t="shared" si="141"/>
        <v>#N/A</v>
      </c>
      <c r="M293" s="2" t="e">
        <f t="shared" si="142"/>
        <v>#N/A</v>
      </c>
      <c r="O293" s="2" t="e">
        <f t="shared" si="143"/>
        <v>#N/A</v>
      </c>
      <c r="P293" s="2" t="e">
        <f t="shared" si="144"/>
        <v>#N/A</v>
      </c>
      <c r="R293" s="2" t="e">
        <f t="shared" si="145"/>
        <v>#N/A</v>
      </c>
      <c r="S293" s="2" t="e">
        <f t="shared" si="146"/>
        <v>#N/A</v>
      </c>
      <c r="U293" s="2" t="e">
        <f t="shared" si="147"/>
        <v>#N/A</v>
      </c>
      <c r="V293" s="2" t="e">
        <f t="shared" si="148"/>
        <v>#N/A</v>
      </c>
      <c r="X293" s="2" t="e">
        <f t="shared" si="149"/>
        <v>#N/A</v>
      </c>
      <c r="Y293" s="2" t="e">
        <f t="shared" si="150"/>
        <v>#N/A</v>
      </c>
      <c r="AA293" s="2" t="e">
        <f t="shared" si="151"/>
        <v>#N/A</v>
      </c>
      <c r="AB293" s="2" t="e">
        <f t="shared" si="152"/>
        <v>#N/A</v>
      </c>
      <c r="BB293" s="5"/>
      <c r="BC293" s="5"/>
      <c r="BD293" s="5"/>
      <c r="BE293" s="5"/>
      <c r="BF293" s="5"/>
      <c r="BG293" s="5"/>
      <c r="BH293" s="5"/>
    </row>
    <row r="294" spans="1:60" s="2" customFormat="1">
      <c r="A294" s="70">
        <v>360</v>
      </c>
      <c r="C294" s="2" t="e">
        <f t="shared" si="135"/>
        <v>#N/A</v>
      </c>
      <c r="D294" s="2" t="e">
        <f t="shared" si="136"/>
        <v>#N/A</v>
      </c>
      <c r="F294" s="2" t="e">
        <f t="shared" si="137"/>
        <v>#N/A</v>
      </c>
      <c r="G294" s="2" t="e">
        <f t="shared" si="138"/>
        <v>#N/A</v>
      </c>
      <c r="I294" s="2" t="e">
        <f t="shared" si="139"/>
        <v>#N/A</v>
      </c>
      <c r="J294" s="2" t="e">
        <f t="shared" si="140"/>
        <v>#N/A</v>
      </c>
      <c r="L294" s="2" t="e">
        <f t="shared" si="141"/>
        <v>#N/A</v>
      </c>
      <c r="M294" s="2" t="e">
        <f t="shared" si="142"/>
        <v>#N/A</v>
      </c>
      <c r="O294" s="2" t="e">
        <f t="shared" si="143"/>
        <v>#N/A</v>
      </c>
      <c r="P294" s="2" t="e">
        <f t="shared" si="144"/>
        <v>#N/A</v>
      </c>
      <c r="R294" s="2" t="e">
        <f t="shared" si="145"/>
        <v>#N/A</v>
      </c>
      <c r="S294" s="2" t="e">
        <f t="shared" si="146"/>
        <v>#N/A</v>
      </c>
      <c r="U294" s="2" t="e">
        <f t="shared" si="147"/>
        <v>#N/A</v>
      </c>
      <c r="V294" s="2" t="e">
        <f t="shared" si="148"/>
        <v>#N/A</v>
      </c>
      <c r="X294" s="2" t="e">
        <f t="shared" si="149"/>
        <v>#N/A</v>
      </c>
      <c r="Y294" s="2" t="e">
        <f t="shared" si="150"/>
        <v>#N/A</v>
      </c>
      <c r="AA294" s="2" t="e">
        <f t="shared" si="151"/>
        <v>#N/A</v>
      </c>
      <c r="AB294" s="2" t="e">
        <f t="shared" si="152"/>
        <v>#N/A</v>
      </c>
      <c r="BB294" s="5"/>
      <c r="BC294" s="5"/>
      <c r="BD294" s="5"/>
      <c r="BE294" s="5"/>
      <c r="BF294" s="5"/>
      <c r="BG294" s="5"/>
      <c r="BH294" s="5"/>
    </row>
    <row r="295" spans="1:60" s="2" customFormat="1">
      <c r="A295" s="70"/>
      <c r="BB295" s="5"/>
      <c r="BC295" s="5"/>
      <c r="BD295" s="5"/>
      <c r="BE295" s="5"/>
      <c r="BF295" s="5"/>
      <c r="BG295" s="5"/>
      <c r="BH295" s="5"/>
    </row>
    <row r="296" spans="1:60" s="2" customFormat="1">
      <c r="A296" s="70">
        <v>0</v>
      </c>
      <c r="B296" s="2">
        <v>8</v>
      </c>
      <c r="C296" s="2" t="e">
        <f t="shared" ref="C296:C320" si="153">IF(AND(AG$3,C$568&gt;0),E$17*COS($A296*PI()/180)+C$568,NA())</f>
        <v>#N/A</v>
      </c>
      <c r="D296" s="2" t="e">
        <f t="shared" ref="D296:D320" si="154">IF(AND(AG$3,C$568&gt;0),E$17*SIN($A296*PI()/180)+E$16,NA())</f>
        <v>#N/A</v>
      </c>
      <c r="F296" s="2" t="e">
        <f t="shared" ref="F296:F320" si="155">IF(AND(AH$3,F$568&gt;0),H$17*COS($A296*PI()/180)+F$568,NA())</f>
        <v>#N/A</v>
      </c>
      <c r="G296" s="2" t="e">
        <f t="shared" ref="G296:G320" si="156">IF(AND(AH$3,F$568&gt;0),H$17*SIN($A296*PI()/180)+H$16,NA())</f>
        <v>#N/A</v>
      </c>
      <c r="I296" s="2" t="e">
        <f t="shared" ref="I296:I320" si="157">IF(AND(AI$3,I$568&gt;0),K$17*COS($A296*PI()/180)+I$568,NA())</f>
        <v>#N/A</v>
      </c>
      <c r="J296" s="2" t="e">
        <f t="shared" ref="J296:J320" si="158">IF(AND(AI$3,I$568&gt;0),K$17*SIN($A296*PI()/180)+K$16,NA())</f>
        <v>#N/A</v>
      </c>
      <c r="L296" s="2" t="e">
        <f t="shared" ref="L296:L320" si="159">IF(AND(AJ$3,L$568&gt;0),N$17*COS($A296*PI()/180)+L$568,NA())</f>
        <v>#N/A</v>
      </c>
      <c r="M296" s="2" t="e">
        <f t="shared" ref="M296:M320" si="160">IF(AND(AJ$3,L$568&gt;0),N$17*SIN($A296*PI()/180)+N$16,NA())</f>
        <v>#N/A</v>
      </c>
      <c r="O296" s="2" t="e">
        <f t="shared" ref="O296:O320" si="161">IF(AND(AK$3,O$568&gt;0),Q$17*COS($A296*PI()/180)+O$568,NA())</f>
        <v>#N/A</v>
      </c>
      <c r="P296" s="2" t="e">
        <f t="shared" ref="P296:P320" si="162">IF(AND(AK$3,O$568&gt;0),Q$17*SIN($A296*PI()/180)+Q$16,NA())</f>
        <v>#N/A</v>
      </c>
      <c r="R296" s="2" t="e">
        <f t="shared" ref="R296:R320" si="163">IF(AND(AL$3,R$568&gt;0),T$17*COS($A296*PI()/180)+R$568,NA())</f>
        <v>#N/A</v>
      </c>
      <c r="S296" s="2" t="e">
        <f t="shared" ref="S296:S320" si="164">IF(AND(AL$3,R$568&gt;0),T$17*SIN($A296*PI()/180)+T$16,NA())</f>
        <v>#N/A</v>
      </c>
      <c r="U296" s="2" t="e">
        <f t="shared" ref="U296:U320" si="165">IF(AND(AM$3,U$568&gt;0),W$17*COS($A296*PI()/180)+U$568,NA())</f>
        <v>#N/A</v>
      </c>
      <c r="V296" s="2" t="e">
        <f t="shared" ref="V296:V320" si="166">IF(AND(AM$3,U$568&gt;0),W$17*SIN($A296*PI()/180)+W$16,NA())</f>
        <v>#N/A</v>
      </c>
      <c r="X296" s="2" t="e">
        <f t="shared" ref="X296:X320" si="167">IF(AND(AN$3,X$568&gt;0),Z$17*COS($A296*PI()/180)+X$568,NA())</f>
        <v>#N/A</v>
      </c>
      <c r="Y296" s="2" t="e">
        <f t="shared" ref="Y296:Y320" si="168">IF(AND(AN$3,X$568&gt;0),Z$17*SIN($A296*PI()/180)+Z$16,NA())</f>
        <v>#N/A</v>
      </c>
      <c r="AA296" s="2" t="e">
        <f t="shared" ref="AA296:AA320" si="169">IF(AND(AO$3,AA$568&gt;0),AC$17*COS($A296*PI()/180)+AA$568,NA())</f>
        <v>#N/A</v>
      </c>
      <c r="AB296" s="2" t="e">
        <f t="shared" ref="AB296:AB320" si="170">IF(AND(AO$3,AA$568&gt;0),AC$17*SIN($A296*PI()/180)+AC$16,NA())</f>
        <v>#N/A</v>
      </c>
      <c r="BB296" s="5"/>
      <c r="BC296" s="5"/>
      <c r="BD296" s="5"/>
      <c r="BE296" s="5"/>
      <c r="BF296" s="5"/>
      <c r="BG296" s="5"/>
      <c r="BH296" s="5"/>
    </row>
    <row r="297" spans="1:60" s="2" customFormat="1">
      <c r="A297" s="70">
        <v>15</v>
      </c>
      <c r="C297" s="2" t="e">
        <f t="shared" si="153"/>
        <v>#N/A</v>
      </c>
      <c r="D297" s="2" t="e">
        <f t="shared" si="154"/>
        <v>#N/A</v>
      </c>
      <c r="F297" s="2" t="e">
        <f t="shared" si="155"/>
        <v>#N/A</v>
      </c>
      <c r="G297" s="2" t="e">
        <f t="shared" si="156"/>
        <v>#N/A</v>
      </c>
      <c r="I297" s="2" t="e">
        <f t="shared" si="157"/>
        <v>#N/A</v>
      </c>
      <c r="J297" s="2" t="e">
        <f t="shared" si="158"/>
        <v>#N/A</v>
      </c>
      <c r="L297" s="2" t="e">
        <f t="shared" si="159"/>
        <v>#N/A</v>
      </c>
      <c r="M297" s="2" t="e">
        <f t="shared" si="160"/>
        <v>#N/A</v>
      </c>
      <c r="O297" s="2" t="e">
        <f t="shared" si="161"/>
        <v>#N/A</v>
      </c>
      <c r="P297" s="2" t="e">
        <f t="shared" si="162"/>
        <v>#N/A</v>
      </c>
      <c r="R297" s="2" t="e">
        <f t="shared" si="163"/>
        <v>#N/A</v>
      </c>
      <c r="S297" s="2" t="e">
        <f t="shared" si="164"/>
        <v>#N/A</v>
      </c>
      <c r="U297" s="2" t="e">
        <f t="shared" si="165"/>
        <v>#N/A</v>
      </c>
      <c r="V297" s="2" t="e">
        <f t="shared" si="166"/>
        <v>#N/A</v>
      </c>
      <c r="X297" s="2" t="e">
        <f t="shared" si="167"/>
        <v>#N/A</v>
      </c>
      <c r="Y297" s="2" t="e">
        <f t="shared" si="168"/>
        <v>#N/A</v>
      </c>
      <c r="AA297" s="2" t="e">
        <f t="shared" si="169"/>
        <v>#N/A</v>
      </c>
      <c r="AB297" s="2" t="e">
        <f t="shared" si="170"/>
        <v>#N/A</v>
      </c>
      <c r="BB297" s="5"/>
      <c r="BC297" s="5"/>
      <c r="BD297" s="5"/>
      <c r="BE297" s="5"/>
      <c r="BF297" s="5"/>
      <c r="BG297" s="5"/>
      <c r="BH297" s="5"/>
    </row>
    <row r="298" spans="1:60" s="2" customFormat="1">
      <c r="A298" s="70">
        <v>30</v>
      </c>
      <c r="C298" s="2" t="e">
        <f t="shared" si="153"/>
        <v>#N/A</v>
      </c>
      <c r="D298" s="2" t="e">
        <f t="shared" si="154"/>
        <v>#N/A</v>
      </c>
      <c r="F298" s="2" t="e">
        <f t="shared" si="155"/>
        <v>#N/A</v>
      </c>
      <c r="G298" s="2" t="e">
        <f t="shared" si="156"/>
        <v>#N/A</v>
      </c>
      <c r="I298" s="2" t="e">
        <f t="shared" si="157"/>
        <v>#N/A</v>
      </c>
      <c r="J298" s="2" t="e">
        <f t="shared" si="158"/>
        <v>#N/A</v>
      </c>
      <c r="L298" s="2" t="e">
        <f t="shared" si="159"/>
        <v>#N/A</v>
      </c>
      <c r="M298" s="2" t="e">
        <f t="shared" si="160"/>
        <v>#N/A</v>
      </c>
      <c r="O298" s="2" t="e">
        <f t="shared" si="161"/>
        <v>#N/A</v>
      </c>
      <c r="P298" s="2" t="e">
        <f t="shared" si="162"/>
        <v>#N/A</v>
      </c>
      <c r="R298" s="2" t="e">
        <f t="shared" si="163"/>
        <v>#N/A</v>
      </c>
      <c r="S298" s="2" t="e">
        <f t="shared" si="164"/>
        <v>#N/A</v>
      </c>
      <c r="U298" s="2" t="e">
        <f t="shared" si="165"/>
        <v>#N/A</v>
      </c>
      <c r="V298" s="2" t="e">
        <f t="shared" si="166"/>
        <v>#N/A</v>
      </c>
      <c r="X298" s="2" t="e">
        <f t="shared" si="167"/>
        <v>#N/A</v>
      </c>
      <c r="Y298" s="2" t="e">
        <f t="shared" si="168"/>
        <v>#N/A</v>
      </c>
      <c r="AA298" s="2" t="e">
        <f t="shared" si="169"/>
        <v>#N/A</v>
      </c>
      <c r="AB298" s="2" t="e">
        <f t="shared" si="170"/>
        <v>#N/A</v>
      </c>
      <c r="BB298" s="5"/>
      <c r="BC298" s="5"/>
      <c r="BD298" s="5"/>
      <c r="BE298" s="5"/>
      <c r="BF298" s="5"/>
      <c r="BG298" s="5"/>
      <c r="BH298" s="5"/>
    </row>
    <row r="299" spans="1:60" s="2" customFormat="1">
      <c r="A299" s="70">
        <v>45</v>
      </c>
      <c r="C299" s="2" t="e">
        <f t="shared" si="153"/>
        <v>#N/A</v>
      </c>
      <c r="D299" s="2" t="e">
        <f t="shared" si="154"/>
        <v>#N/A</v>
      </c>
      <c r="F299" s="2" t="e">
        <f t="shared" si="155"/>
        <v>#N/A</v>
      </c>
      <c r="G299" s="2" t="e">
        <f t="shared" si="156"/>
        <v>#N/A</v>
      </c>
      <c r="I299" s="2" t="e">
        <f t="shared" si="157"/>
        <v>#N/A</v>
      </c>
      <c r="J299" s="2" t="e">
        <f t="shared" si="158"/>
        <v>#N/A</v>
      </c>
      <c r="L299" s="2" t="e">
        <f t="shared" si="159"/>
        <v>#N/A</v>
      </c>
      <c r="M299" s="2" t="e">
        <f t="shared" si="160"/>
        <v>#N/A</v>
      </c>
      <c r="O299" s="2" t="e">
        <f t="shared" si="161"/>
        <v>#N/A</v>
      </c>
      <c r="P299" s="2" t="e">
        <f t="shared" si="162"/>
        <v>#N/A</v>
      </c>
      <c r="R299" s="2" t="e">
        <f t="shared" si="163"/>
        <v>#N/A</v>
      </c>
      <c r="S299" s="2" t="e">
        <f t="shared" si="164"/>
        <v>#N/A</v>
      </c>
      <c r="U299" s="2" t="e">
        <f t="shared" si="165"/>
        <v>#N/A</v>
      </c>
      <c r="V299" s="2" t="e">
        <f t="shared" si="166"/>
        <v>#N/A</v>
      </c>
      <c r="X299" s="2" t="e">
        <f t="shared" si="167"/>
        <v>#N/A</v>
      </c>
      <c r="Y299" s="2" t="e">
        <f t="shared" si="168"/>
        <v>#N/A</v>
      </c>
      <c r="AA299" s="2" t="e">
        <f t="shared" si="169"/>
        <v>#N/A</v>
      </c>
      <c r="AB299" s="2" t="e">
        <f t="shared" si="170"/>
        <v>#N/A</v>
      </c>
      <c r="BB299" s="5"/>
      <c r="BC299" s="5"/>
      <c r="BD299" s="5"/>
      <c r="BE299" s="5"/>
      <c r="BF299" s="5"/>
      <c r="BG299" s="5"/>
      <c r="BH299" s="5"/>
    </row>
    <row r="300" spans="1:60" s="2" customFormat="1">
      <c r="A300" s="70">
        <v>60</v>
      </c>
      <c r="C300" s="2" t="e">
        <f t="shared" si="153"/>
        <v>#N/A</v>
      </c>
      <c r="D300" s="2" t="e">
        <f t="shared" si="154"/>
        <v>#N/A</v>
      </c>
      <c r="F300" s="2" t="e">
        <f t="shared" si="155"/>
        <v>#N/A</v>
      </c>
      <c r="G300" s="2" t="e">
        <f t="shared" si="156"/>
        <v>#N/A</v>
      </c>
      <c r="I300" s="2" t="e">
        <f t="shared" si="157"/>
        <v>#N/A</v>
      </c>
      <c r="J300" s="2" t="e">
        <f t="shared" si="158"/>
        <v>#N/A</v>
      </c>
      <c r="L300" s="2" t="e">
        <f t="shared" si="159"/>
        <v>#N/A</v>
      </c>
      <c r="M300" s="2" t="e">
        <f t="shared" si="160"/>
        <v>#N/A</v>
      </c>
      <c r="O300" s="2" t="e">
        <f t="shared" si="161"/>
        <v>#N/A</v>
      </c>
      <c r="P300" s="2" t="e">
        <f t="shared" si="162"/>
        <v>#N/A</v>
      </c>
      <c r="R300" s="2" t="e">
        <f t="shared" si="163"/>
        <v>#N/A</v>
      </c>
      <c r="S300" s="2" t="e">
        <f t="shared" si="164"/>
        <v>#N/A</v>
      </c>
      <c r="U300" s="2" t="e">
        <f t="shared" si="165"/>
        <v>#N/A</v>
      </c>
      <c r="V300" s="2" t="e">
        <f t="shared" si="166"/>
        <v>#N/A</v>
      </c>
      <c r="X300" s="2" t="e">
        <f t="shared" si="167"/>
        <v>#N/A</v>
      </c>
      <c r="Y300" s="2" t="e">
        <f t="shared" si="168"/>
        <v>#N/A</v>
      </c>
      <c r="AA300" s="2" t="e">
        <f t="shared" si="169"/>
        <v>#N/A</v>
      </c>
      <c r="AB300" s="2" t="e">
        <f t="shared" si="170"/>
        <v>#N/A</v>
      </c>
      <c r="BB300" s="5"/>
      <c r="BC300" s="5"/>
      <c r="BD300" s="5"/>
      <c r="BE300" s="5"/>
      <c r="BF300" s="5"/>
      <c r="BG300" s="5"/>
      <c r="BH300" s="5"/>
    </row>
    <row r="301" spans="1:60" s="2" customFormat="1">
      <c r="A301" s="70">
        <v>75</v>
      </c>
      <c r="C301" s="2" t="e">
        <f t="shared" si="153"/>
        <v>#N/A</v>
      </c>
      <c r="D301" s="2" t="e">
        <f t="shared" si="154"/>
        <v>#N/A</v>
      </c>
      <c r="F301" s="2" t="e">
        <f t="shared" si="155"/>
        <v>#N/A</v>
      </c>
      <c r="G301" s="2" t="e">
        <f t="shared" si="156"/>
        <v>#N/A</v>
      </c>
      <c r="I301" s="2" t="e">
        <f t="shared" si="157"/>
        <v>#N/A</v>
      </c>
      <c r="J301" s="2" t="e">
        <f t="shared" si="158"/>
        <v>#N/A</v>
      </c>
      <c r="L301" s="2" t="e">
        <f t="shared" si="159"/>
        <v>#N/A</v>
      </c>
      <c r="M301" s="2" t="e">
        <f t="shared" si="160"/>
        <v>#N/A</v>
      </c>
      <c r="O301" s="2" t="e">
        <f t="shared" si="161"/>
        <v>#N/A</v>
      </c>
      <c r="P301" s="2" t="e">
        <f t="shared" si="162"/>
        <v>#N/A</v>
      </c>
      <c r="R301" s="2" t="e">
        <f t="shared" si="163"/>
        <v>#N/A</v>
      </c>
      <c r="S301" s="2" t="e">
        <f t="shared" si="164"/>
        <v>#N/A</v>
      </c>
      <c r="U301" s="2" t="e">
        <f t="shared" si="165"/>
        <v>#N/A</v>
      </c>
      <c r="V301" s="2" t="e">
        <f t="shared" si="166"/>
        <v>#N/A</v>
      </c>
      <c r="X301" s="2" t="e">
        <f t="shared" si="167"/>
        <v>#N/A</v>
      </c>
      <c r="Y301" s="2" t="e">
        <f t="shared" si="168"/>
        <v>#N/A</v>
      </c>
      <c r="AA301" s="2" t="e">
        <f t="shared" si="169"/>
        <v>#N/A</v>
      </c>
      <c r="AB301" s="2" t="e">
        <f t="shared" si="170"/>
        <v>#N/A</v>
      </c>
      <c r="BB301" s="5"/>
      <c r="BC301" s="5"/>
      <c r="BD301" s="5"/>
      <c r="BE301" s="5"/>
      <c r="BF301" s="5"/>
      <c r="BG301" s="5"/>
      <c r="BH301" s="5"/>
    </row>
    <row r="302" spans="1:60" s="2" customFormat="1">
      <c r="A302" s="70">
        <v>90</v>
      </c>
      <c r="C302" s="2" t="e">
        <f t="shared" si="153"/>
        <v>#N/A</v>
      </c>
      <c r="D302" s="2" t="e">
        <f t="shared" si="154"/>
        <v>#N/A</v>
      </c>
      <c r="F302" s="2" t="e">
        <f t="shared" si="155"/>
        <v>#N/A</v>
      </c>
      <c r="G302" s="2" t="e">
        <f t="shared" si="156"/>
        <v>#N/A</v>
      </c>
      <c r="I302" s="2" t="e">
        <f t="shared" si="157"/>
        <v>#N/A</v>
      </c>
      <c r="J302" s="2" t="e">
        <f t="shared" si="158"/>
        <v>#N/A</v>
      </c>
      <c r="L302" s="2" t="e">
        <f t="shared" si="159"/>
        <v>#N/A</v>
      </c>
      <c r="M302" s="2" t="e">
        <f t="shared" si="160"/>
        <v>#N/A</v>
      </c>
      <c r="O302" s="2" t="e">
        <f t="shared" si="161"/>
        <v>#N/A</v>
      </c>
      <c r="P302" s="2" t="e">
        <f t="shared" si="162"/>
        <v>#N/A</v>
      </c>
      <c r="R302" s="2" t="e">
        <f t="shared" si="163"/>
        <v>#N/A</v>
      </c>
      <c r="S302" s="2" t="e">
        <f t="shared" si="164"/>
        <v>#N/A</v>
      </c>
      <c r="U302" s="2" t="e">
        <f t="shared" si="165"/>
        <v>#N/A</v>
      </c>
      <c r="V302" s="2" t="e">
        <f t="shared" si="166"/>
        <v>#N/A</v>
      </c>
      <c r="X302" s="2" t="e">
        <f t="shared" si="167"/>
        <v>#N/A</v>
      </c>
      <c r="Y302" s="2" t="e">
        <f t="shared" si="168"/>
        <v>#N/A</v>
      </c>
      <c r="AA302" s="2" t="e">
        <f t="shared" si="169"/>
        <v>#N/A</v>
      </c>
      <c r="AB302" s="2" t="e">
        <f t="shared" si="170"/>
        <v>#N/A</v>
      </c>
      <c r="BB302" s="5"/>
      <c r="BC302" s="5"/>
      <c r="BD302" s="5"/>
      <c r="BE302" s="5"/>
      <c r="BF302" s="5"/>
      <c r="BG302" s="5"/>
      <c r="BH302" s="5"/>
    </row>
    <row r="303" spans="1:60" s="2" customFormat="1">
      <c r="A303" s="70">
        <v>105</v>
      </c>
      <c r="C303" s="2" t="e">
        <f t="shared" si="153"/>
        <v>#N/A</v>
      </c>
      <c r="D303" s="2" t="e">
        <f t="shared" si="154"/>
        <v>#N/A</v>
      </c>
      <c r="F303" s="2" t="e">
        <f t="shared" si="155"/>
        <v>#N/A</v>
      </c>
      <c r="G303" s="2" t="e">
        <f t="shared" si="156"/>
        <v>#N/A</v>
      </c>
      <c r="I303" s="2" t="e">
        <f t="shared" si="157"/>
        <v>#N/A</v>
      </c>
      <c r="J303" s="2" t="e">
        <f t="shared" si="158"/>
        <v>#N/A</v>
      </c>
      <c r="L303" s="2" t="e">
        <f t="shared" si="159"/>
        <v>#N/A</v>
      </c>
      <c r="M303" s="2" t="e">
        <f t="shared" si="160"/>
        <v>#N/A</v>
      </c>
      <c r="O303" s="2" t="e">
        <f t="shared" si="161"/>
        <v>#N/A</v>
      </c>
      <c r="P303" s="2" t="e">
        <f t="shared" si="162"/>
        <v>#N/A</v>
      </c>
      <c r="R303" s="2" t="e">
        <f t="shared" si="163"/>
        <v>#N/A</v>
      </c>
      <c r="S303" s="2" t="e">
        <f t="shared" si="164"/>
        <v>#N/A</v>
      </c>
      <c r="U303" s="2" t="e">
        <f t="shared" si="165"/>
        <v>#N/A</v>
      </c>
      <c r="V303" s="2" t="e">
        <f t="shared" si="166"/>
        <v>#N/A</v>
      </c>
      <c r="X303" s="2" t="e">
        <f t="shared" si="167"/>
        <v>#N/A</v>
      </c>
      <c r="Y303" s="2" t="e">
        <f t="shared" si="168"/>
        <v>#N/A</v>
      </c>
      <c r="AA303" s="2" t="e">
        <f t="shared" si="169"/>
        <v>#N/A</v>
      </c>
      <c r="AB303" s="2" t="e">
        <f t="shared" si="170"/>
        <v>#N/A</v>
      </c>
      <c r="BB303" s="5"/>
      <c r="BC303" s="5"/>
      <c r="BD303" s="5"/>
      <c r="BE303" s="5"/>
      <c r="BF303" s="5"/>
      <c r="BG303" s="5"/>
      <c r="BH303" s="5"/>
    </row>
    <row r="304" spans="1:60" s="2" customFormat="1">
      <c r="A304" s="70">
        <v>120</v>
      </c>
      <c r="C304" s="2" t="e">
        <f t="shared" si="153"/>
        <v>#N/A</v>
      </c>
      <c r="D304" s="2" t="e">
        <f t="shared" si="154"/>
        <v>#N/A</v>
      </c>
      <c r="F304" s="2" t="e">
        <f t="shared" si="155"/>
        <v>#N/A</v>
      </c>
      <c r="G304" s="2" t="e">
        <f t="shared" si="156"/>
        <v>#N/A</v>
      </c>
      <c r="I304" s="2" t="e">
        <f t="shared" si="157"/>
        <v>#N/A</v>
      </c>
      <c r="J304" s="2" t="e">
        <f t="shared" si="158"/>
        <v>#N/A</v>
      </c>
      <c r="L304" s="2" t="e">
        <f t="shared" si="159"/>
        <v>#N/A</v>
      </c>
      <c r="M304" s="2" t="e">
        <f t="shared" si="160"/>
        <v>#N/A</v>
      </c>
      <c r="O304" s="2" t="e">
        <f t="shared" si="161"/>
        <v>#N/A</v>
      </c>
      <c r="P304" s="2" t="e">
        <f t="shared" si="162"/>
        <v>#N/A</v>
      </c>
      <c r="R304" s="2" t="e">
        <f t="shared" si="163"/>
        <v>#N/A</v>
      </c>
      <c r="S304" s="2" t="e">
        <f t="shared" si="164"/>
        <v>#N/A</v>
      </c>
      <c r="U304" s="2" t="e">
        <f t="shared" si="165"/>
        <v>#N/A</v>
      </c>
      <c r="V304" s="2" t="e">
        <f t="shared" si="166"/>
        <v>#N/A</v>
      </c>
      <c r="X304" s="2" t="e">
        <f t="shared" si="167"/>
        <v>#N/A</v>
      </c>
      <c r="Y304" s="2" t="e">
        <f t="shared" si="168"/>
        <v>#N/A</v>
      </c>
      <c r="AA304" s="2" t="e">
        <f t="shared" si="169"/>
        <v>#N/A</v>
      </c>
      <c r="AB304" s="2" t="e">
        <f t="shared" si="170"/>
        <v>#N/A</v>
      </c>
      <c r="BB304" s="5"/>
      <c r="BC304" s="5"/>
      <c r="BD304" s="5"/>
      <c r="BE304" s="5"/>
      <c r="BF304" s="5"/>
      <c r="BG304" s="5"/>
      <c r="BH304" s="5"/>
    </row>
    <row r="305" spans="1:60" s="2" customFormat="1">
      <c r="A305" s="70">
        <v>135</v>
      </c>
      <c r="C305" s="2" t="e">
        <f t="shared" si="153"/>
        <v>#N/A</v>
      </c>
      <c r="D305" s="2" t="e">
        <f t="shared" si="154"/>
        <v>#N/A</v>
      </c>
      <c r="F305" s="2" t="e">
        <f t="shared" si="155"/>
        <v>#N/A</v>
      </c>
      <c r="G305" s="2" t="e">
        <f t="shared" si="156"/>
        <v>#N/A</v>
      </c>
      <c r="I305" s="2" t="e">
        <f t="shared" si="157"/>
        <v>#N/A</v>
      </c>
      <c r="J305" s="2" t="e">
        <f t="shared" si="158"/>
        <v>#N/A</v>
      </c>
      <c r="L305" s="2" t="e">
        <f t="shared" si="159"/>
        <v>#N/A</v>
      </c>
      <c r="M305" s="2" t="e">
        <f t="shared" si="160"/>
        <v>#N/A</v>
      </c>
      <c r="O305" s="2" t="e">
        <f t="shared" si="161"/>
        <v>#N/A</v>
      </c>
      <c r="P305" s="2" t="e">
        <f t="shared" si="162"/>
        <v>#N/A</v>
      </c>
      <c r="R305" s="2" t="e">
        <f t="shared" si="163"/>
        <v>#N/A</v>
      </c>
      <c r="S305" s="2" t="e">
        <f t="shared" si="164"/>
        <v>#N/A</v>
      </c>
      <c r="U305" s="2" t="e">
        <f t="shared" si="165"/>
        <v>#N/A</v>
      </c>
      <c r="V305" s="2" t="e">
        <f t="shared" si="166"/>
        <v>#N/A</v>
      </c>
      <c r="X305" s="2" t="e">
        <f t="shared" si="167"/>
        <v>#N/A</v>
      </c>
      <c r="Y305" s="2" t="e">
        <f t="shared" si="168"/>
        <v>#N/A</v>
      </c>
      <c r="AA305" s="2" t="e">
        <f t="shared" si="169"/>
        <v>#N/A</v>
      </c>
      <c r="AB305" s="2" t="e">
        <f t="shared" si="170"/>
        <v>#N/A</v>
      </c>
      <c r="BB305" s="5"/>
      <c r="BC305" s="5"/>
      <c r="BD305" s="5"/>
      <c r="BE305" s="5"/>
      <c r="BF305" s="5"/>
      <c r="BG305" s="5"/>
      <c r="BH305" s="5"/>
    </row>
    <row r="306" spans="1:60" s="2" customFormat="1">
      <c r="A306" s="70">
        <v>150</v>
      </c>
      <c r="C306" s="2" t="e">
        <f t="shared" si="153"/>
        <v>#N/A</v>
      </c>
      <c r="D306" s="2" t="e">
        <f t="shared" si="154"/>
        <v>#N/A</v>
      </c>
      <c r="F306" s="2" t="e">
        <f t="shared" si="155"/>
        <v>#N/A</v>
      </c>
      <c r="G306" s="2" t="e">
        <f t="shared" si="156"/>
        <v>#N/A</v>
      </c>
      <c r="I306" s="2" t="e">
        <f t="shared" si="157"/>
        <v>#N/A</v>
      </c>
      <c r="J306" s="2" t="e">
        <f t="shared" si="158"/>
        <v>#N/A</v>
      </c>
      <c r="L306" s="2" t="e">
        <f t="shared" si="159"/>
        <v>#N/A</v>
      </c>
      <c r="M306" s="2" t="e">
        <f t="shared" si="160"/>
        <v>#N/A</v>
      </c>
      <c r="O306" s="2" t="e">
        <f t="shared" si="161"/>
        <v>#N/A</v>
      </c>
      <c r="P306" s="2" t="e">
        <f t="shared" si="162"/>
        <v>#N/A</v>
      </c>
      <c r="R306" s="2" t="e">
        <f t="shared" si="163"/>
        <v>#N/A</v>
      </c>
      <c r="S306" s="2" t="e">
        <f t="shared" si="164"/>
        <v>#N/A</v>
      </c>
      <c r="U306" s="2" t="e">
        <f t="shared" si="165"/>
        <v>#N/A</v>
      </c>
      <c r="V306" s="2" t="e">
        <f t="shared" si="166"/>
        <v>#N/A</v>
      </c>
      <c r="X306" s="2" t="e">
        <f t="shared" si="167"/>
        <v>#N/A</v>
      </c>
      <c r="Y306" s="2" t="e">
        <f t="shared" si="168"/>
        <v>#N/A</v>
      </c>
      <c r="AA306" s="2" t="e">
        <f t="shared" si="169"/>
        <v>#N/A</v>
      </c>
      <c r="AB306" s="2" t="e">
        <f t="shared" si="170"/>
        <v>#N/A</v>
      </c>
      <c r="BB306" s="5"/>
      <c r="BC306" s="5"/>
      <c r="BD306" s="5"/>
      <c r="BE306" s="5"/>
      <c r="BF306" s="5"/>
      <c r="BG306" s="5"/>
      <c r="BH306" s="5"/>
    </row>
    <row r="307" spans="1:60" s="2" customFormat="1">
      <c r="A307" s="70">
        <v>165</v>
      </c>
      <c r="C307" s="2" t="e">
        <f t="shared" si="153"/>
        <v>#N/A</v>
      </c>
      <c r="D307" s="2" t="e">
        <f t="shared" si="154"/>
        <v>#N/A</v>
      </c>
      <c r="F307" s="2" t="e">
        <f t="shared" si="155"/>
        <v>#N/A</v>
      </c>
      <c r="G307" s="2" t="e">
        <f t="shared" si="156"/>
        <v>#N/A</v>
      </c>
      <c r="I307" s="2" t="e">
        <f t="shared" si="157"/>
        <v>#N/A</v>
      </c>
      <c r="J307" s="2" t="e">
        <f t="shared" si="158"/>
        <v>#N/A</v>
      </c>
      <c r="L307" s="2" t="e">
        <f t="shared" si="159"/>
        <v>#N/A</v>
      </c>
      <c r="M307" s="2" t="e">
        <f t="shared" si="160"/>
        <v>#N/A</v>
      </c>
      <c r="O307" s="2" t="e">
        <f t="shared" si="161"/>
        <v>#N/A</v>
      </c>
      <c r="P307" s="2" t="e">
        <f t="shared" si="162"/>
        <v>#N/A</v>
      </c>
      <c r="R307" s="2" t="e">
        <f t="shared" si="163"/>
        <v>#N/A</v>
      </c>
      <c r="S307" s="2" t="e">
        <f t="shared" si="164"/>
        <v>#N/A</v>
      </c>
      <c r="U307" s="2" t="e">
        <f t="shared" si="165"/>
        <v>#N/A</v>
      </c>
      <c r="V307" s="2" t="e">
        <f t="shared" si="166"/>
        <v>#N/A</v>
      </c>
      <c r="X307" s="2" t="e">
        <f t="shared" si="167"/>
        <v>#N/A</v>
      </c>
      <c r="Y307" s="2" t="e">
        <f t="shared" si="168"/>
        <v>#N/A</v>
      </c>
      <c r="AA307" s="2" t="e">
        <f t="shared" si="169"/>
        <v>#N/A</v>
      </c>
      <c r="AB307" s="2" t="e">
        <f t="shared" si="170"/>
        <v>#N/A</v>
      </c>
      <c r="BB307" s="5"/>
      <c r="BC307" s="5"/>
      <c r="BD307" s="5"/>
      <c r="BE307" s="5"/>
      <c r="BF307" s="5"/>
      <c r="BG307" s="5"/>
      <c r="BH307" s="5"/>
    </row>
    <row r="308" spans="1:60" s="2" customFormat="1">
      <c r="A308" s="70">
        <v>180</v>
      </c>
      <c r="C308" s="2" t="e">
        <f t="shared" si="153"/>
        <v>#N/A</v>
      </c>
      <c r="D308" s="2" t="e">
        <f t="shared" si="154"/>
        <v>#N/A</v>
      </c>
      <c r="F308" s="2" t="e">
        <f t="shared" si="155"/>
        <v>#N/A</v>
      </c>
      <c r="G308" s="2" t="e">
        <f t="shared" si="156"/>
        <v>#N/A</v>
      </c>
      <c r="I308" s="2" t="e">
        <f t="shared" si="157"/>
        <v>#N/A</v>
      </c>
      <c r="J308" s="2" t="e">
        <f t="shared" si="158"/>
        <v>#N/A</v>
      </c>
      <c r="L308" s="2" t="e">
        <f t="shared" si="159"/>
        <v>#N/A</v>
      </c>
      <c r="M308" s="2" t="e">
        <f t="shared" si="160"/>
        <v>#N/A</v>
      </c>
      <c r="O308" s="2" t="e">
        <f t="shared" si="161"/>
        <v>#N/A</v>
      </c>
      <c r="P308" s="2" t="e">
        <f t="shared" si="162"/>
        <v>#N/A</v>
      </c>
      <c r="R308" s="2" t="e">
        <f t="shared" si="163"/>
        <v>#N/A</v>
      </c>
      <c r="S308" s="2" t="e">
        <f t="shared" si="164"/>
        <v>#N/A</v>
      </c>
      <c r="U308" s="2" t="e">
        <f t="shared" si="165"/>
        <v>#N/A</v>
      </c>
      <c r="V308" s="2" t="e">
        <f t="shared" si="166"/>
        <v>#N/A</v>
      </c>
      <c r="X308" s="2" t="e">
        <f t="shared" si="167"/>
        <v>#N/A</v>
      </c>
      <c r="Y308" s="2" t="e">
        <f t="shared" si="168"/>
        <v>#N/A</v>
      </c>
      <c r="AA308" s="2" t="e">
        <f t="shared" si="169"/>
        <v>#N/A</v>
      </c>
      <c r="AB308" s="2" t="e">
        <f t="shared" si="170"/>
        <v>#N/A</v>
      </c>
      <c r="BB308" s="5"/>
      <c r="BC308" s="5"/>
      <c r="BD308" s="5"/>
      <c r="BE308" s="5"/>
      <c r="BF308" s="5"/>
      <c r="BG308" s="5"/>
      <c r="BH308" s="5"/>
    </row>
    <row r="309" spans="1:60" s="2" customFormat="1">
      <c r="A309" s="70">
        <v>195</v>
      </c>
      <c r="C309" s="2" t="e">
        <f t="shared" si="153"/>
        <v>#N/A</v>
      </c>
      <c r="D309" s="2" t="e">
        <f t="shared" si="154"/>
        <v>#N/A</v>
      </c>
      <c r="F309" s="2" t="e">
        <f t="shared" si="155"/>
        <v>#N/A</v>
      </c>
      <c r="G309" s="2" t="e">
        <f t="shared" si="156"/>
        <v>#N/A</v>
      </c>
      <c r="I309" s="2" t="e">
        <f t="shared" si="157"/>
        <v>#N/A</v>
      </c>
      <c r="J309" s="2" t="e">
        <f t="shared" si="158"/>
        <v>#N/A</v>
      </c>
      <c r="L309" s="2" t="e">
        <f t="shared" si="159"/>
        <v>#N/A</v>
      </c>
      <c r="M309" s="2" t="e">
        <f t="shared" si="160"/>
        <v>#N/A</v>
      </c>
      <c r="O309" s="2" t="e">
        <f t="shared" si="161"/>
        <v>#N/A</v>
      </c>
      <c r="P309" s="2" t="e">
        <f t="shared" si="162"/>
        <v>#N/A</v>
      </c>
      <c r="R309" s="2" t="e">
        <f t="shared" si="163"/>
        <v>#N/A</v>
      </c>
      <c r="S309" s="2" t="e">
        <f t="shared" si="164"/>
        <v>#N/A</v>
      </c>
      <c r="U309" s="2" t="e">
        <f t="shared" si="165"/>
        <v>#N/A</v>
      </c>
      <c r="V309" s="2" t="e">
        <f t="shared" si="166"/>
        <v>#N/A</v>
      </c>
      <c r="X309" s="2" t="e">
        <f t="shared" si="167"/>
        <v>#N/A</v>
      </c>
      <c r="Y309" s="2" t="e">
        <f t="shared" si="168"/>
        <v>#N/A</v>
      </c>
      <c r="AA309" s="2" t="e">
        <f t="shared" si="169"/>
        <v>#N/A</v>
      </c>
      <c r="AB309" s="2" t="e">
        <f t="shared" si="170"/>
        <v>#N/A</v>
      </c>
      <c r="BB309" s="5"/>
      <c r="BC309" s="5"/>
      <c r="BD309" s="5"/>
      <c r="BE309" s="5"/>
      <c r="BF309" s="5"/>
      <c r="BG309" s="5"/>
      <c r="BH309" s="5"/>
    </row>
    <row r="310" spans="1:60" s="2" customFormat="1">
      <c r="A310" s="70">
        <v>210</v>
      </c>
      <c r="C310" s="2" t="e">
        <f t="shared" si="153"/>
        <v>#N/A</v>
      </c>
      <c r="D310" s="2" t="e">
        <f t="shared" si="154"/>
        <v>#N/A</v>
      </c>
      <c r="F310" s="2" t="e">
        <f t="shared" si="155"/>
        <v>#N/A</v>
      </c>
      <c r="G310" s="2" t="e">
        <f t="shared" si="156"/>
        <v>#N/A</v>
      </c>
      <c r="I310" s="2" t="e">
        <f t="shared" si="157"/>
        <v>#N/A</v>
      </c>
      <c r="J310" s="2" t="e">
        <f t="shared" si="158"/>
        <v>#N/A</v>
      </c>
      <c r="L310" s="2" t="e">
        <f t="shared" si="159"/>
        <v>#N/A</v>
      </c>
      <c r="M310" s="2" t="e">
        <f t="shared" si="160"/>
        <v>#N/A</v>
      </c>
      <c r="O310" s="2" t="e">
        <f t="shared" si="161"/>
        <v>#N/A</v>
      </c>
      <c r="P310" s="2" t="e">
        <f t="shared" si="162"/>
        <v>#N/A</v>
      </c>
      <c r="R310" s="2" t="e">
        <f t="shared" si="163"/>
        <v>#N/A</v>
      </c>
      <c r="S310" s="2" t="e">
        <f t="shared" si="164"/>
        <v>#N/A</v>
      </c>
      <c r="U310" s="2" t="e">
        <f t="shared" si="165"/>
        <v>#N/A</v>
      </c>
      <c r="V310" s="2" t="e">
        <f t="shared" si="166"/>
        <v>#N/A</v>
      </c>
      <c r="X310" s="2" t="e">
        <f t="shared" si="167"/>
        <v>#N/A</v>
      </c>
      <c r="Y310" s="2" t="e">
        <f t="shared" si="168"/>
        <v>#N/A</v>
      </c>
      <c r="AA310" s="2" t="e">
        <f t="shared" si="169"/>
        <v>#N/A</v>
      </c>
      <c r="AB310" s="2" t="e">
        <f t="shared" si="170"/>
        <v>#N/A</v>
      </c>
      <c r="BB310" s="5"/>
      <c r="BC310" s="5"/>
      <c r="BD310" s="5"/>
      <c r="BE310" s="5"/>
      <c r="BF310" s="5"/>
      <c r="BG310" s="5"/>
      <c r="BH310" s="5"/>
    </row>
    <row r="311" spans="1:60" s="2" customFormat="1">
      <c r="A311" s="70">
        <v>225</v>
      </c>
      <c r="C311" s="2" t="e">
        <f t="shared" si="153"/>
        <v>#N/A</v>
      </c>
      <c r="D311" s="2" t="e">
        <f t="shared" si="154"/>
        <v>#N/A</v>
      </c>
      <c r="F311" s="2" t="e">
        <f t="shared" si="155"/>
        <v>#N/A</v>
      </c>
      <c r="G311" s="2" t="e">
        <f t="shared" si="156"/>
        <v>#N/A</v>
      </c>
      <c r="I311" s="2" t="e">
        <f t="shared" si="157"/>
        <v>#N/A</v>
      </c>
      <c r="J311" s="2" t="e">
        <f t="shared" si="158"/>
        <v>#N/A</v>
      </c>
      <c r="L311" s="2" t="e">
        <f t="shared" si="159"/>
        <v>#N/A</v>
      </c>
      <c r="M311" s="2" t="e">
        <f t="shared" si="160"/>
        <v>#N/A</v>
      </c>
      <c r="O311" s="2" t="e">
        <f t="shared" si="161"/>
        <v>#N/A</v>
      </c>
      <c r="P311" s="2" t="e">
        <f t="shared" si="162"/>
        <v>#N/A</v>
      </c>
      <c r="R311" s="2" t="e">
        <f t="shared" si="163"/>
        <v>#N/A</v>
      </c>
      <c r="S311" s="2" t="e">
        <f t="shared" si="164"/>
        <v>#N/A</v>
      </c>
      <c r="U311" s="2" t="e">
        <f t="shared" si="165"/>
        <v>#N/A</v>
      </c>
      <c r="V311" s="2" t="e">
        <f t="shared" si="166"/>
        <v>#N/A</v>
      </c>
      <c r="X311" s="2" t="e">
        <f t="shared" si="167"/>
        <v>#N/A</v>
      </c>
      <c r="Y311" s="2" t="e">
        <f t="shared" si="168"/>
        <v>#N/A</v>
      </c>
      <c r="AA311" s="2" t="e">
        <f t="shared" si="169"/>
        <v>#N/A</v>
      </c>
      <c r="AB311" s="2" t="e">
        <f t="shared" si="170"/>
        <v>#N/A</v>
      </c>
      <c r="BB311" s="5"/>
      <c r="BC311" s="5"/>
      <c r="BD311" s="5"/>
      <c r="BE311" s="5"/>
      <c r="BF311" s="5"/>
      <c r="BG311" s="5"/>
      <c r="BH311" s="5"/>
    </row>
    <row r="312" spans="1:60" s="2" customFormat="1">
      <c r="A312" s="70">
        <v>240</v>
      </c>
      <c r="C312" s="2" t="e">
        <f t="shared" si="153"/>
        <v>#N/A</v>
      </c>
      <c r="D312" s="2" t="e">
        <f t="shared" si="154"/>
        <v>#N/A</v>
      </c>
      <c r="F312" s="2" t="e">
        <f t="shared" si="155"/>
        <v>#N/A</v>
      </c>
      <c r="G312" s="2" t="e">
        <f t="shared" si="156"/>
        <v>#N/A</v>
      </c>
      <c r="I312" s="2" t="e">
        <f t="shared" si="157"/>
        <v>#N/A</v>
      </c>
      <c r="J312" s="2" t="e">
        <f t="shared" si="158"/>
        <v>#N/A</v>
      </c>
      <c r="L312" s="2" t="e">
        <f t="shared" si="159"/>
        <v>#N/A</v>
      </c>
      <c r="M312" s="2" t="e">
        <f t="shared" si="160"/>
        <v>#N/A</v>
      </c>
      <c r="O312" s="2" t="e">
        <f t="shared" si="161"/>
        <v>#N/A</v>
      </c>
      <c r="P312" s="2" t="e">
        <f t="shared" si="162"/>
        <v>#N/A</v>
      </c>
      <c r="R312" s="2" t="e">
        <f t="shared" si="163"/>
        <v>#N/A</v>
      </c>
      <c r="S312" s="2" t="e">
        <f t="shared" si="164"/>
        <v>#N/A</v>
      </c>
      <c r="U312" s="2" t="e">
        <f t="shared" si="165"/>
        <v>#N/A</v>
      </c>
      <c r="V312" s="2" t="e">
        <f t="shared" si="166"/>
        <v>#N/A</v>
      </c>
      <c r="X312" s="2" t="e">
        <f t="shared" si="167"/>
        <v>#N/A</v>
      </c>
      <c r="Y312" s="2" t="e">
        <f t="shared" si="168"/>
        <v>#N/A</v>
      </c>
      <c r="AA312" s="2" t="e">
        <f t="shared" si="169"/>
        <v>#N/A</v>
      </c>
      <c r="AB312" s="2" t="e">
        <f t="shared" si="170"/>
        <v>#N/A</v>
      </c>
      <c r="BB312" s="5"/>
      <c r="BC312" s="5"/>
      <c r="BD312" s="5"/>
      <c r="BE312" s="5"/>
      <c r="BF312" s="5"/>
      <c r="BG312" s="5"/>
      <c r="BH312" s="5"/>
    </row>
    <row r="313" spans="1:60" s="2" customFormat="1">
      <c r="A313" s="70">
        <v>255</v>
      </c>
      <c r="C313" s="2" t="e">
        <f t="shared" si="153"/>
        <v>#N/A</v>
      </c>
      <c r="D313" s="2" t="e">
        <f t="shared" si="154"/>
        <v>#N/A</v>
      </c>
      <c r="F313" s="2" t="e">
        <f t="shared" si="155"/>
        <v>#N/A</v>
      </c>
      <c r="G313" s="2" t="e">
        <f t="shared" si="156"/>
        <v>#N/A</v>
      </c>
      <c r="I313" s="2" t="e">
        <f t="shared" si="157"/>
        <v>#N/A</v>
      </c>
      <c r="J313" s="2" t="e">
        <f t="shared" si="158"/>
        <v>#N/A</v>
      </c>
      <c r="L313" s="2" t="e">
        <f t="shared" si="159"/>
        <v>#N/A</v>
      </c>
      <c r="M313" s="2" t="e">
        <f t="shared" si="160"/>
        <v>#N/A</v>
      </c>
      <c r="O313" s="2" t="e">
        <f t="shared" si="161"/>
        <v>#N/A</v>
      </c>
      <c r="P313" s="2" t="e">
        <f t="shared" si="162"/>
        <v>#N/A</v>
      </c>
      <c r="R313" s="2" t="e">
        <f t="shared" si="163"/>
        <v>#N/A</v>
      </c>
      <c r="S313" s="2" t="e">
        <f t="shared" si="164"/>
        <v>#N/A</v>
      </c>
      <c r="U313" s="2" t="e">
        <f t="shared" si="165"/>
        <v>#N/A</v>
      </c>
      <c r="V313" s="2" t="e">
        <f t="shared" si="166"/>
        <v>#N/A</v>
      </c>
      <c r="X313" s="2" t="e">
        <f t="shared" si="167"/>
        <v>#N/A</v>
      </c>
      <c r="Y313" s="2" t="e">
        <f t="shared" si="168"/>
        <v>#N/A</v>
      </c>
      <c r="AA313" s="2" t="e">
        <f t="shared" si="169"/>
        <v>#N/A</v>
      </c>
      <c r="AB313" s="2" t="e">
        <f t="shared" si="170"/>
        <v>#N/A</v>
      </c>
      <c r="BB313" s="5"/>
      <c r="BC313" s="5"/>
      <c r="BD313" s="5"/>
      <c r="BE313" s="5"/>
      <c r="BF313" s="5"/>
      <c r="BG313" s="5"/>
      <c r="BH313" s="5"/>
    </row>
    <row r="314" spans="1:60" s="2" customFormat="1">
      <c r="A314" s="70">
        <v>270</v>
      </c>
      <c r="C314" s="2" t="e">
        <f t="shared" si="153"/>
        <v>#N/A</v>
      </c>
      <c r="D314" s="2" t="e">
        <f t="shared" si="154"/>
        <v>#N/A</v>
      </c>
      <c r="F314" s="2" t="e">
        <f t="shared" si="155"/>
        <v>#N/A</v>
      </c>
      <c r="G314" s="2" t="e">
        <f t="shared" si="156"/>
        <v>#N/A</v>
      </c>
      <c r="I314" s="2" t="e">
        <f t="shared" si="157"/>
        <v>#N/A</v>
      </c>
      <c r="J314" s="2" t="e">
        <f t="shared" si="158"/>
        <v>#N/A</v>
      </c>
      <c r="L314" s="2" t="e">
        <f t="shared" si="159"/>
        <v>#N/A</v>
      </c>
      <c r="M314" s="2" t="e">
        <f t="shared" si="160"/>
        <v>#N/A</v>
      </c>
      <c r="O314" s="2" t="e">
        <f t="shared" si="161"/>
        <v>#N/A</v>
      </c>
      <c r="P314" s="2" t="e">
        <f t="shared" si="162"/>
        <v>#N/A</v>
      </c>
      <c r="R314" s="2" t="e">
        <f t="shared" si="163"/>
        <v>#N/A</v>
      </c>
      <c r="S314" s="2" t="e">
        <f t="shared" si="164"/>
        <v>#N/A</v>
      </c>
      <c r="U314" s="2" t="e">
        <f t="shared" si="165"/>
        <v>#N/A</v>
      </c>
      <c r="V314" s="2" t="e">
        <f t="shared" si="166"/>
        <v>#N/A</v>
      </c>
      <c r="X314" s="2" t="e">
        <f t="shared" si="167"/>
        <v>#N/A</v>
      </c>
      <c r="Y314" s="2" t="e">
        <f t="shared" si="168"/>
        <v>#N/A</v>
      </c>
      <c r="AA314" s="2" t="e">
        <f t="shared" si="169"/>
        <v>#N/A</v>
      </c>
      <c r="AB314" s="2" t="e">
        <f t="shared" si="170"/>
        <v>#N/A</v>
      </c>
      <c r="BB314" s="5"/>
      <c r="BC314" s="5"/>
      <c r="BD314" s="5"/>
      <c r="BE314" s="5"/>
      <c r="BF314" s="5"/>
      <c r="BG314" s="5"/>
      <c r="BH314" s="5"/>
    </row>
    <row r="315" spans="1:60" s="2" customFormat="1">
      <c r="A315" s="70">
        <v>285</v>
      </c>
      <c r="C315" s="2" t="e">
        <f t="shared" si="153"/>
        <v>#N/A</v>
      </c>
      <c r="D315" s="2" t="e">
        <f t="shared" si="154"/>
        <v>#N/A</v>
      </c>
      <c r="F315" s="2" t="e">
        <f t="shared" si="155"/>
        <v>#N/A</v>
      </c>
      <c r="G315" s="2" t="e">
        <f t="shared" si="156"/>
        <v>#N/A</v>
      </c>
      <c r="I315" s="2" t="e">
        <f t="shared" si="157"/>
        <v>#N/A</v>
      </c>
      <c r="J315" s="2" t="e">
        <f t="shared" si="158"/>
        <v>#N/A</v>
      </c>
      <c r="L315" s="2" t="e">
        <f t="shared" si="159"/>
        <v>#N/A</v>
      </c>
      <c r="M315" s="2" t="e">
        <f t="shared" si="160"/>
        <v>#N/A</v>
      </c>
      <c r="O315" s="2" t="e">
        <f t="shared" si="161"/>
        <v>#N/A</v>
      </c>
      <c r="P315" s="2" t="e">
        <f t="shared" si="162"/>
        <v>#N/A</v>
      </c>
      <c r="R315" s="2" t="e">
        <f t="shared" si="163"/>
        <v>#N/A</v>
      </c>
      <c r="S315" s="2" t="e">
        <f t="shared" si="164"/>
        <v>#N/A</v>
      </c>
      <c r="U315" s="2" t="e">
        <f t="shared" si="165"/>
        <v>#N/A</v>
      </c>
      <c r="V315" s="2" t="e">
        <f t="shared" si="166"/>
        <v>#N/A</v>
      </c>
      <c r="X315" s="2" t="e">
        <f t="shared" si="167"/>
        <v>#N/A</v>
      </c>
      <c r="Y315" s="2" t="e">
        <f t="shared" si="168"/>
        <v>#N/A</v>
      </c>
      <c r="AA315" s="2" t="e">
        <f t="shared" si="169"/>
        <v>#N/A</v>
      </c>
      <c r="AB315" s="2" t="e">
        <f t="shared" si="170"/>
        <v>#N/A</v>
      </c>
      <c r="BB315" s="5"/>
      <c r="BC315" s="5"/>
      <c r="BD315" s="5"/>
      <c r="BE315" s="5"/>
      <c r="BF315" s="5"/>
      <c r="BG315" s="5"/>
      <c r="BH315" s="5"/>
    </row>
    <row r="316" spans="1:60" s="2" customFormat="1">
      <c r="A316" s="70">
        <v>300</v>
      </c>
      <c r="C316" s="2" t="e">
        <f t="shared" si="153"/>
        <v>#N/A</v>
      </c>
      <c r="D316" s="2" t="e">
        <f t="shared" si="154"/>
        <v>#N/A</v>
      </c>
      <c r="F316" s="2" t="e">
        <f t="shared" si="155"/>
        <v>#N/A</v>
      </c>
      <c r="G316" s="2" t="e">
        <f t="shared" si="156"/>
        <v>#N/A</v>
      </c>
      <c r="I316" s="2" t="e">
        <f t="shared" si="157"/>
        <v>#N/A</v>
      </c>
      <c r="J316" s="2" t="e">
        <f t="shared" si="158"/>
        <v>#N/A</v>
      </c>
      <c r="L316" s="2" t="e">
        <f t="shared" si="159"/>
        <v>#N/A</v>
      </c>
      <c r="M316" s="2" t="e">
        <f t="shared" si="160"/>
        <v>#N/A</v>
      </c>
      <c r="O316" s="2" t="e">
        <f t="shared" si="161"/>
        <v>#N/A</v>
      </c>
      <c r="P316" s="2" t="e">
        <f t="shared" si="162"/>
        <v>#N/A</v>
      </c>
      <c r="R316" s="2" t="e">
        <f t="shared" si="163"/>
        <v>#N/A</v>
      </c>
      <c r="S316" s="2" t="e">
        <f t="shared" si="164"/>
        <v>#N/A</v>
      </c>
      <c r="U316" s="2" t="e">
        <f t="shared" si="165"/>
        <v>#N/A</v>
      </c>
      <c r="V316" s="2" t="e">
        <f t="shared" si="166"/>
        <v>#N/A</v>
      </c>
      <c r="X316" s="2" t="e">
        <f t="shared" si="167"/>
        <v>#N/A</v>
      </c>
      <c r="Y316" s="2" t="e">
        <f t="shared" si="168"/>
        <v>#N/A</v>
      </c>
      <c r="AA316" s="2" t="e">
        <f t="shared" si="169"/>
        <v>#N/A</v>
      </c>
      <c r="AB316" s="2" t="e">
        <f t="shared" si="170"/>
        <v>#N/A</v>
      </c>
      <c r="BB316" s="5"/>
      <c r="BC316" s="5"/>
      <c r="BD316" s="5"/>
      <c r="BE316" s="5"/>
      <c r="BF316" s="5"/>
      <c r="BG316" s="5"/>
      <c r="BH316" s="5"/>
    </row>
    <row r="317" spans="1:60" s="2" customFormat="1">
      <c r="A317" s="70">
        <v>315</v>
      </c>
      <c r="C317" s="2" t="e">
        <f t="shared" si="153"/>
        <v>#N/A</v>
      </c>
      <c r="D317" s="2" t="e">
        <f t="shared" si="154"/>
        <v>#N/A</v>
      </c>
      <c r="F317" s="2" t="e">
        <f t="shared" si="155"/>
        <v>#N/A</v>
      </c>
      <c r="G317" s="2" t="e">
        <f t="shared" si="156"/>
        <v>#N/A</v>
      </c>
      <c r="I317" s="2" t="e">
        <f t="shared" si="157"/>
        <v>#N/A</v>
      </c>
      <c r="J317" s="2" t="e">
        <f t="shared" si="158"/>
        <v>#N/A</v>
      </c>
      <c r="L317" s="2" t="e">
        <f t="shared" si="159"/>
        <v>#N/A</v>
      </c>
      <c r="M317" s="2" t="e">
        <f t="shared" si="160"/>
        <v>#N/A</v>
      </c>
      <c r="O317" s="2" t="e">
        <f t="shared" si="161"/>
        <v>#N/A</v>
      </c>
      <c r="P317" s="2" t="e">
        <f t="shared" si="162"/>
        <v>#N/A</v>
      </c>
      <c r="R317" s="2" t="e">
        <f t="shared" si="163"/>
        <v>#N/A</v>
      </c>
      <c r="S317" s="2" t="e">
        <f t="shared" si="164"/>
        <v>#N/A</v>
      </c>
      <c r="U317" s="2" t="e">
        <f t="shared" si="165"/>
        <v>#N/A</v>
      </c>
      <c r="V317" s="2" t="e">
        <f t="shared" si="166"/>
        <v>#N/A</v>
      </c>
      <c r="X317" s="2" t="e">
        <f t="shared" si="167"/>
        <v>#N/A</v>
      </c>
      <c r="Y317" s="2" t="e">
        <f t="shared" si="168"/>
        <v>#N/A</v>
      </c>
      <c r="AA317" s="2" t="e">
        <f t="shared" si="169"/>
        <v>#N/A</v>
      </c>
      <c r="AB317" s="2" t="e">
        <f t="shared" si="170"/>
        <v>#N/A</v>
      </c>
      <c r="BB317" s="5"/>
      <c r="BC317" s="5"/>
      <c r="BD317" s="5"/>
      <c r="BE317" s="5"/>
      <c r="BF317" s="5"/>
      <c r="BG317" s="5"/>
      <c r="BH317" s="5"/>
    </row>
    <row r="318" spans="1:60" s="2" customFormat="1">
      <c r="A318" s="70">
        <v>330</v>
      </c>
      <c r="C318" s="2" t="e">
        <f t="shared" si="153"/>
        <v>#N/A</v>
      </c>
      <c r="D318" s="2" t="e">
        <f t="shared" si="154"/>
        <v>#N/A</v>
      </c>
      <c r="F318" s="2" t="e">
        <f t="shared" si="155"/>
        <v>#N/A</v>
      </c>
      <c r="G318" s="2" t="e">
        <f t="shared" si="156"/>
        <v>#N/A</v>
      </c>
      <c r="I318" s="2" t="e">
        <f t="shared" si="157"/>
        <v>#N/A</v>
      </c>
      <c r="J318" s="2" t="e">
        <f t="shared" si="158"/>
        <v>#N/A</v>
      </c>
      <c r="L318" s="2" t="e">
        <f t="shared" si="159"/>
        <v>#N/A</v>
      </c>
      <c r="M318" s="2" t="e">
        <f t="shared" si="160"/>
        <v>#N/A</v>
      </c>
      <c r="O318" s="2" t="e">
        <f t="shared" si="161"/>
        <v>#N/A</v>
      </c>
      <c r="P318" s="2" t="e">
        <f t="shared" si="162"/>
        <v>#N/A</v>
      </c>
      <c r="R318" s="2" t="e">
        <f t="shared" si="163"/>
        <v>#N/A</v>
      </c>
      <c r="S318" s="2" t="e">
        <f t="shared" si="164"/>
        <v>#N/A</v>
      </c>
      <c r="U318" s="2" t="e">
        <f t="shared" si="165"/>
        <v>#N/A</v>
      </c>
      <c r="V318" s="2" t="e">
        <f t="shared" si="166"/>
        <v>#N/A</v>
      </c>
      <c r="X318" s="2" t="e">
        <f t="shared" si="167"/>
        <v>#N/A</v>
      </c>
      <c r="Y318" s="2" t="e">
        <f t="shared" si="168"/>
        <v>#N/A</v>
      </c>
      <c r="AA318" s="2" t="e">
        <f t="shared" si="169"/>
        <v>#N/A</v>
      </c>
      <c r="AB318" s="2" t="e">
        <f t="shared" si="170"/>
        <v>#N/A</v>
      </c>
      <c r="BB318" s="5"/>
      <c r="BC318" s="5"/>
      <c r="BD318" s="5"/>
      <c r="BE318" s="5"/>
      <c r="BF318" s="5"/>
      <c r="BG318" s="5"/>
      <c r="BH318" s="5"/>
    </row>
    <row r="319" spans="1:60" s="2" customFormat="1">
      <c r="A319" s="70">
        <v>345</v>
      </c>
      <c r="C319" s="2" t="e">
        <f t="shared" si="153"/>
        <v>#N/A</v>
      </c>
      <c r="D319" s="2" t="e">
        <f t="shared" si="154"/>
        <v>#N/A</v>
      </c>
      <c r="F319" s="2" t="e">
        <f t="shared" si="155"/>
        <v>#N/A</v>
      </c>
      <c r="G319" s="2" t="e">
        <f t="shared" si="156"/>
        <v>#N/A</v>
      </c>
      <c r="I319" s="2" t="e">
        <f t="shared" si="157"/>
        <v>#N/A</v>
      </c>
      <c r="J319" s="2" t="e">
        <f t="shared" si="158"/>
        <v>#N/A</v>
      </c>
      <c r="L319" s="2" t="e">
        <f t="shared" si="159"/>
        <v>#N/A</v>
      </c>
      <c r="M319" s="2" t="e">
        <f t="shared" si="160"/>
        <v>#N/A</v>
      </c>
      <c r="O319" s="2" t="e">
        <f t="shared" si="161"/>
        <v>#N/A</v>
      </c>
      <c r="P319" s="2" t="e">
        <f t="shared" si="162"/>
        <v>#N/A</v>
      </c>
      <c r="R319" s="2" t="e">
        <f t="shared" si="163"/>
        <v>#N/A</v>
      </c>
      <c r="S319" s="2" t="e">
        <f t="shared" si="164"/>
        <v>#N/A</v>
      </c>
      <c r="U319" s="2" t="e">
        <f t="shared" si="165"/>
        <v>#N/A</v>
      </c>
      <c r="V319" s="2" t="e">
        <f t="shared" si="166"/>
        <v>#N/A</v>
      </c>
      <c r="X319" s="2" t="e">
        <f t="shared" si="167"/>
        <v>#N/A</v>
      </c>
      <c r="Y319" s="2" t="e">
        <f t="shared" si="168"/>
        <v>#N/A</v>
      </c>
      <c r="AA319" s="2" t="e">
        <f t="shared" si="169"/>
        <v>#N/A</v>
      </c>
      <c r="AB319" s="2" t="e">
        <f t="shared" si="170"/>
        <v>#N/A</v>
      </c>
      <c r="BB319" s="5"/>
      <c r="BC319" s="5"/>
      <c r="BD319" s="5"/>
      <c r="BE319" s="5"/>
      <c r="BF319" s="5"/>
      <c r="BG319" s="5"/>
      <c r="BH319" s="5"/>
    </row>
    <row r="320" spans="1:60" s="2" customFormat="1">
      <c r="A320" s="70">
        <v>360</v>
      </c>
      <c r="C320" s="2" t="e">
        <f t="shared" si="153"/>
        <v>#N/A</v>
      </c>
      <c r="D320" s="2" t="e">
        <f t="shared" si="154"/>
        <v>#N/A</v>
      </c>
      <c r="F320" s="2" t="e">
        <f t="shared" si="155"/>
        <v>#N/A</v>
      </c>
      <c r="G320" s="2" t="e">
        <f t="shared" si="156"/>
        <v>#N/A</v>
      </c>
      <c r="I320" s="2" t="e">
        <f t="shared" si="157"/>
        <v>#N/A</v>
      </c>
      <c r="J320" s="2" t="e">
        <f t="shared" si="158"/>
        <v>#N/A</v>
      </c>
      <c r="L320" s="2" t="e">
        <f t="shared" si="159"/>
        <v>#N/A</v>
      </c>
      <c r="M320" s="2" t="e">
        <f t="shared" si="160"/>
        <v>#N/A</v>
      </c>
      <c r="O320" s="2" t="e">
        <f t="shared" si="161"/>
        <v>#N/A</v>
      </c>
      <c r="P320" s="2" t="e">
        <f t="shared" si="162"/>
        <v>#N/A</v>
      </c>
      <c r="R320" s="2" t="e">
        <f t="shared" si="163"/>
        <v>#N/A</v>
      </c>
      <c r="S320" s="2" t="e">
        <f t="shared" si="164"/>
        <v>#N/A</v>
      </c>
      <c r="U320" s="2" t="e">
        <f t="shared" si="165"/>
        <v>#N/A</v>
      </c>
      <c r="V320" s="2" t="e">
        <f t="shared" si="166"/>
        <v>#N/A</v>
      </c>
      <c r="X320" s="2" t="e">
        <f t="shared" si="167"/>
        <v>#N/A</v>
      </c>
      <c r="Y320" s="2" t="e">
        <f t="shared" si="168"/>
        <v>#N/A</v>
      </c>
      <c r="AA320" s="2" t="e">
        <f t="shared" si="169"/>
        <v>#N/A</v>
      </c>
      <c r="AB320" s="2" t="e">
        <f t="shared" si="170"/>
        <v>#N/A</v>
      </c>
      <c r="BB320" s="5"/>
      <c r="BC320" s="5"/>
      <c r="BD320" s="5"/>
      <c r="BE320" s="5"/>
      <c r="BF320" s="5"/>
      <c r="BG320" s="5"/>
      <c r="BH320" s="5"/>
    </row>
    <row r="321" spans="1:60" s="2" customFormat="1">
      <c r="A321" s="70"/>
      <c r="BB321" s="5"/>
      <c r="BC321" s="5"/>
      <c r="BD321" s="5"/>
      <c r="BE321" s="5"/>
      <c r="BF321" s="5"/>
      <c r="BG321" s="5"/>
      <c r="BH321" s="5"/>
    </row>
    <row r="322" spans="1:60" s="2" customFormat="1">
      <c r="A322" s="70">
        <v>0</v>
      </c>
      <c r="C322" s="2" t="e">
        <f t="shared" ref="C322:C346" si="171">IF(AND(AG$3,C$561&gt;0),(E$17+1)*COS($A322*PI()/180)+C$561,NA())</f>
        <v>#N/A</v>
      </c>
      <c r="D322" s="2" t="e">
        <f t="shared" ref="D322:D346" si="172">IF(AND(AG$3,C$561&gt;0),(E$17+1)*SIN($A322*PI()/180)+E$9,NA())</f>
        <v>#N/A</v>
      </c>
      <c r="F322" s="2" t="e">
        <f t="shared" ref="F322:F346" si="173">IF(AND(AH$3,I$561&gt;0),(H$17+1)*COS($A322*PI()/180)+I$561,NA())</f>
        <v>#N/A</v>
      </c>
      <c r="G322" s="2" t="e">
        <f t="shared" ref="G322:G346" si="174">IF(AND(AH$3,I$561&gt;0),(H$17+1)*SIN($A322*PI()/180)+H$9,NA())</f>
        <v>#N/A</v>
      </c>
      <c r="I322" s="2" t="e">
        <f>IF(AND(AI$3,#REF!&gt;0),(K$17+1)*COS($A322*PI()/180)+#REF!,NA())</f>
        <v>#REF!</v>
      </c>
      <c r="J322" s="2" t="e">
        <f>IF(AND(AI$3,#REF!&gt;0),(K$17+1)*SIN($A322*PI()/180)+K$9,NA())</f>
        <v>#REF!</v>
      </c>
      <c r="L322" s="2" t="e">
        <f t="shared" ref="L322:L346" si="175">IF(AND(AJ$3,L$561&gt;0),(N$17+1)*COS($A322*PI()/180)+L$561,NA())</f>
        <v>#N/A</v>
      </c>
      <c r="M322" s="2" t="e">
        <f t="shared" ref="M322:M346" si="176">IF(AND(AJ$3,L$561&gt;0),(N$17+1)*SIN($A322*PI()/180)+N$9,NA())</f>
        <v>#N/A</v>
      </c>
      <c r="O322" s="2" t="e">
        <f t="shared" ref="O322:O346" si="177">IF(AND(AK$3,O$561&gt;0),(Q$17+1)*COS($A322*PI()/180)+O$561,NA())</f>
        <v>#N/A</v>
      </c>
      <c r="P322" s="2" t="e">
        <f t="shared" ref="P322:P346" si="178">IF(AND(AK$3,O$561&gt;0),(Q$17+1)*SIN($A322*PI()/180)+Q$9,NA())</f>
        <v>#N/A</v>
      </c>
      <c r="R322" s="2" t="e">
        <f t="shared" ref="R322:R346" si="179">IF(AND(AL$3,R$561&gt;0),(T$17+1)*COS($A322*PI()/180)+R$561,NA())</f>
        <v>#N/A</v>
      </c>
      <c r="S322" s="2" t="e">
        <f t="shared" ref="S322:S346" si="180">IF(AND(AL$3,R$561&gt;0),(T$17+1)*SIN($A322*PI()/180)+T$9,NA())</f>
        <v>#N/A</v>
      </c>
      <c r="U322" s="2" t="e">
        <f t="shared" ref="U322:U346" si="181">IF(AND(AM$3,U$561&gt;0),(W$17+1)*COS($A322*PI()/180)+U$561,NA())</f>
        <v>#N/A</v>
      </c>
      <c r="V322" s="2" t="e">
        <f t="shared" ref="V322:V346" si="182">IF(AND(AM$3,U$561&gt;0),(W$17+1)*SIN($A322*PI()/180)+W$9,NA())</f>
        <v>#N/A</v>
      </c>
      <c r="X322" s="2" t="e">
        <f t="shared" ref="X322:X346" si="183">IF(AND(AN$3,X$561&gt;0),(Z$17+1)*COS($A322*PI()/180)+X$561,NA())</f>
        <v>#N/A</v>
      </c>
      <c r="Y322" s="2" t="e">
        <f t="shared" ref="Y322:Y346" si="184">IF(AND(AN$3,X$561&gt;0),(Z$17+1)*SIN($A322*PI()/180)+Z$9,NA())</f>
        <v>#N/A</v>
      </c>
      <c r="AA322" s="2" t="e">
        <f t="shared" ref="AA322:AA346" si="185">IF(AND(AO$3,AA$561&gt;0),(AC$17+1)*COS($A322*PI()/180)+AA$561,NA())</f>
        <v>#N/A</v>
      </c>
      <c r="AB322" s="2" t="e">
        <f t="shared" ref="AB322:AB346" si="186">IF(AND(AO$3,AA$561&gt;0),(AC$17+1)*SIN($A322*PI()/180)+AC$9,NA())</f>
        <v>#N/A</v>
      </c>
      <c r="AO322" s="2">
        <f>IF(A215,IF($A$17,$AO$7-0.75,-3),-4)</f>
        <v>2.3499999999999996</v>
      </c>
      <c r="AP322" s="2">
        <f>IF($A$17,$AP$5-0.6,-3)</f>
        <v>-0.69</v>
      </c>
      <c r="BB322" s="5"/>
      <c r="BC322" s="5"/>
      <c r="BD322" s="5"/>
      <c r="BE322" s="5"/>
      <c r="BF322" s="5"/>
      <c r="BG322" s="5"/>
      <c r="BH322" s="5"/>
    </row>
    <row r="323" spans="1:60" s="2" customFormat="1">
      <c r="A323" s="70">
        <v>15</v>
      </c>
      <c r="C323" s="2" t="e">
        <f t="shared" si="171"/>
        <v>#N/A</v>
      </c>
      <c r="D323" s="2" t="e">
        <f t="shared" si="172"/>
        <v>#N/A</v>
      </c>
      <c r="F323" s="2" t="e">
        <f t="shared" si="173"/>
        <v>#N/A</v>
      </c>
      <c r="G323" s="2" t="e">
        <f t="shared" si="174"/>
        <v>#N/A</v>
      </c>
      <c r="I323" s="2" t="e">
        <f>IF(AND(AI$3,#REF!&gt;0),(K$17+1)*COS($A323*PI()/180)+#REF!,NA())</f>
        <v>#REF!</v>
      </c>
      <c r="J323" s="2" t="e">
        <f>IF(AND(AI$3,#REF!&gt;0),(K$17+1)*SIN($A323*PI()/180)+K$9,NA())</f>
        <v>#REF!</v>
      </c>
      <c r="L323" s="2" t="e">
        <f t="shared" si="175"/>
        <v>#N/A</v>
      </c>
      <c r="M323" s="2" t="e">
        <f t="shared" si="176"/>
        <v>#N/A</v>
      </c>
      <c r="O323" s="2" t="e">
        <f t="shared" si="177"/>
        <v>#N/A</v>
      </c>
      <c r="P323" s="2" t="e">
        <f t="shared" si="178"/>
        <v>#N/A</v>
      </c>
      <c r="R323" s="2" t="e">
        <f t="shared" si="179"/>
        <v>#N/A</v>
      </c>
      <c r="S323" s="2" t="e">
        <f t="shared" si="180"/>
        <v>#N/A</v>
      </c>
      <c r="U323" s="2" t="e">
        <f t="shared" si="181"/>
        <v>#N/A</v>
      </c>
      <c r="V323" s="2" t="e">
        <f t="shared" si="182"/>
        <v>#N/A</v>
      </c>
      <c r="X323" s="2" t="e">
        <f t="shared" si="183"/>
        <v>#N/A</v>
      </c>
      <c r="Y323" s="2" t="e">
        <f t="shared" si="184"/>
        <v>#N/A</v>
      </c>
      <c r="AA323" s="2" t="e">
        <f t="shared" si="185"/>
        <v>#N/A</v>
      </c>
      <c r="AB323" s="2" t="e">
        <f t="shared" si="186"/>
        <v>#N/A</v>
      </c>
      <c r="AO323" s="2">
        <f>IF(A218,IF($A$17,$AO$7-0.75,-3),-4)</f>
        <v>-4</v>
      </c>
      <c r="AP323" s="2">
        <f>IF($A$17,$AP$6-0.6,-3)</f>
        <v>3.5100000000000002</v>
      </c>
      <c r="BB323" s="5"/>
      <c r="BC323" s="5"/>
      <c r="BD323" s="5"/>
      <c r="BE323" s="5"/>
      <c r="BF323" s="5"/>
      <c r="BG323" s="5"/>
      <c r="BH323" s="5"/>
    </row>
    <row r="324" spans="1:60" s="2" customFormat="1">
      <c r="A324" s="70">
        <v>30</v>
      </c>
      <c r="C324" s="2" t="e">
        <f t="shared" si="171"/>
        <v>#N/A</v>
      </c>
      <c r="D324" s="2" t="e">
        <f t="shared" si="172"/>
        <v>#N/A</v>
      </c>
      <c r="F324" s="2" t="e">
        <f t="shared" si="173"/>
        <v>#N/A</v>
      </c>
      <c r="G324" s="2" t="e">
        <f t="shared" si="174"/>
        <v>#N/A</v>
      </c>
      <c r="I324" s="2" t="e">
        <f>IF(AND(AI$3,#REF!&gt;0),(K$17+1)*COS($A324*PI()/180)+#REF!,NA())</f>
        <v>#REF!</v>
      </c>
      <c r="J324" s="2" t="e">
        <f>IF(AND(AI$3,#REF!&gt;0),(K$17+1)*SIN($A324*PI()/180)+K$9,NA())</f>
        <v>#REF!</v>
      </c>
      <c r="L324" s="2" t="e">
        <f t="shared" si="175"/>
        <v>#N/A</v>
      </c>
      <c r="M324" s="2" t="e">
        <f t="shared" si="176"/>
        <v>#N/A</v>
      </c>
      <c r="O324" s="2" t="e">
        <f t="shared" si="177"/>
        <v>#N/A</v>
      </c>
      <c r="P324" s="2" t="e">
        <f t="shared" si="178"/>
        <v>#N/A</v>
      </c>
      <c r="R324" s="2" t="e">
        <f t="shared" si="179"/>
        <v>#N/A</v>
      </c>
      <c r="S324" s="2" t="e">
        <f t="shared" si="180"/>
        <v>#N/A</v>
      </c>
      <c r="U324" s="2" t="e">
        <f t="shared" si="181"/>
        <v>#N/A</v>
      </c>
      <c r="V324" s="2" t="e">
        <f t="shared" si="182"/>
        <v>#N/A</v>
      </c>
      <c r="X324" s="2" t="e">
        <f t="shared" si="183"/>
        <v>#N/A</v>
      </c>
      <c r="Y324" s="2" t="e">
        <f t="shared" si="184"/>
        <v>#N/A</v>
      </c>
      <c r="AA324" s="2" t="e">
        <f t="shared" si="185"/>
        <v>#N/A</v>
      </c>
      <c r="AB324" s="2" t="e">
        <f t="shared" si="186"/>
        <v>#N/A</v>
      </c>
      <c r="AO324" s="2">
        <f>IF(A221,IF($A$17,$AO$7-0.75,-3),-4)</f>
        <v>2.3499999999999996</v>
      </c>
      <c r="AP324" s="2">
        <f>IF($A$17,$AP$7-0.6,-3)</f>
        <v>7.7100000000000009</v>
      </c>
      <c r="BB324" s="5"/>
      <c r="BC324" s="5"/>
      <c r="BD324" s="5"/>
      <c r="BE324" s="5"/>
      <c r="BF324" s="5"/>
      <c r="BG324" s="5"/>
      <c r="BH324" s="5"/>
    </row>
    <row r="325" spans="1:60" s="2" customFormat="1">
      <c r="A325" s="70">
        <v>45</v>
      </c>
      <c r="C325" s="2" t="e">
        <f t="shared" si="171"/>
        <v>#N/A</v>
      </c>
      <c r="D325" s="2" t="e">
        <f t="shared" si="172"/>
        <v>#N/A</v>
      </c>
      <c r="F325" s="2" t="e">
        <f t="shared" si="173"/>
        <v>#N/A</v>
      </c>
      <c r="G325" s="2" t="e">
        <f t="shared" si="174"/>
        <v>#N/A</v>
      </c>
      <c r="I325" s="2" t="e">
        <f>IF(AND(AI$3,#REF!&gt;0),(K$17+1)*COS($A325*PI()/180)+#REF!,NA())</f>
        <v>#REF!</v>
      </c>
      <c r="J325" s="2" t="e">
        <f>IF(AND(AI$3,#REF!&gt;0),(K$17+1)*SIN($A325*PI()/180)+K$9,NA())</f>
        <v>#REF!</v>
      </c>
      <c r="L325" s="2" t="e">
        <f t="shared" si="175"/>
        <v>#N/A</v>
      </c>
      <c r="M325" s="2" t="e">
        <f t="shared" si="176"/>
        <v>#N/A</v>
      </c>
      <c r="O325" s="2" t="e">
        <f t="shared" si="177"/>
        <v>#N/A</v>
      </c>
      <c r="P325" s="2" t="e">
        <f t="shared" si="178"/>
        <v>#N/A</v>
      </c>
      <c r="R325" s="2" t="e">
        <f t="shared" si="179"/>
        <v>#N/A</v>
      </c>
      <c r="S325" s="2" t="e">
        <f t="shared" si="180"/>
        <v>#N/A</v>
      </c>
      <c r="U325" s="2" t="e">
        <f t="shared" si="181"/>
        <v>#N/A</v>
      </c>
      <c r="V325" s="2" t="e">
        <f t="shared" si="182"/>
        <v>#N/A</v>
      </c>
      <c r="X325" s="2" t="e">
        <f t="shared" si="183"/>
        <v>#N/A</v>
      </c>
      <c r="Y325" s="2" t="e">
        <f t="shared" si="184"/>
        <v>#N/A</v>
      </c>
      <c r="AA325" s="2" t="e">
        <f t="shared" si="185"/>
        <v>#N/A</v>
      </c>
      <c r="AB325" s="2" t="e">
        <f t="shared" si="186"/>
        <v>#N/A</v>
      </c>
      <c r="AN325" s="2" t="s">
        <v>7</v>
      </c>
      <c r="AO325" s="2">
        <f>IF(A213,IF($A$17,$AO$5-0.75,-3),-4)</f>
        <v>-2.4500000000000002</v>
      </c>
      <c r="AP325" s="2">
        <f>IF($A$17,$AP$5+0.6,-3)</f>
        <v>0.51</v>
      </c>
      <c r="BB325" s="5"/>
      <c r="BC325" s="5"/>
      <c r="BD325" s="5"/>
      <c r="BE325" s="5"/>
      <c r="BF325" s="5"/>
      <c r="BG325" s="5"/>
      <c r="BH325" s="5"/>
    </row>
    <row r="326" spans="1:60" s="2" customFormat="1">
      <c r="A326" s="70">
        <v>60</v>
      </c>
      <c r="C326" s="2" t="e">
        <f t="shared" si="171"/>
        <v>#N/A</v>
      </c>
      <c r="D326" s="2" t="e">
        <f t="shared" si="172"/>
        <v>#N/A</v>
      </c>
      <c r="F326" s="2" t="e">
        <f t="shared" si="173"/>
        <v>#N/A</v>
      </c>
      <c r="G326" s="2" t="e">
        <f t="shared" si="174"/>
        <v>#N/A</v>
      </c>
      <c r="I326" s="2" t="e">
        <f>IF(AND(AI$3,#REF!&gt;0),(K$17+1)*COS($A326*PI()/180)+#REF!,NA())</f>
        <v>#REF!</v>
      </c>
      <c r="J326" s="2" t="e">
        <f>IF(AND(AI$3,#REF!&gt;0),(K$17+1)*SIN($A326*PI()/180)+K$9,NA())</f>
        <v>#REF!</v>
      </c>
      <c r="L326" s="2" t="e">
        <f t="shared" si="175"/>
        <v>#N/A</v>
      </c>
      <c r="M326" s="2" t="e">
        <f t="shared" si="176"/>
        <v>#N/A</v>
      </c>
      <c r="O326" s="2" t="e">
        <f t="shared" si="177"/>
        <v>#N/A</v>
      </c>
      <c r="P326" s="2" t="e">
        <f t="shared" si="178"/>
        <v>#N/A</v>
      </c>
      <c r="R326" s="2" t="e">
        <f t="shared" si="179"/>
        <v>#N/A</v>
      </c>
      <c r="S326" s="2" t="e">
        <f t="shared" si="180"/>
        <v>#N/A</v>
      </c>
      <c r="U326" s="2" t="e">
        <f t="shared" si="181"/>
        <v>#N/A</v>
      </c>
      <c r="V326" s="2" t="e">
        <f t="shared" si="182"/>
        <v>#N/A</v>
      </c>
      <c r="X326" s="2" t="e">
        <f t="shared" si="183"/>
        <v>#N/A</v>
      </c>
      <c r="Y326" s="2" t="e">
        <f t="shared" si="184"/>
        <v>#N/A</v>
      </c>
      <c r="AA326" s="2" t="e">
        <f t="shared" si="185"/>
        <v>#N/A</v>
      </c>
      <c r="AB326" s="2" t="e">
        <f t="shared" si="186"/>
        <v>#N/A</v>
      </c>
      <c r="AO326" s="2">
        <f>IF(A216,IF($A$17,$AO$5-0.75,-3),-4)</f>
        <v>-2.4500000000000002</v>
      </c>
      <c r="AP326" s="2">
        <f>IF($A$17,$AP$6+0.6,-3)</f>
        <v>4.71</v>
      </c>
      <c r="BB326" s="5"/>
      <c r="BC326" s="5"/>
      <c r="BD326" s="5"/>
      <c r="BE326" s="5"/>
      <c r="BF326" s="5"/>
      <c r="BG326" s="5"/>
      <c r="BH326" s="5"/>
    </row>
    <row r="327" spans="1:60" s="2" customFormat="1">
      <c r="A327" s="70">
        <v>75</v>
      </c>
      <c r="C327" s="2" t="e">
        <f t="shared" si="171"/>
        <v>#N/A</v>
      </c>
      <c r="D327" s="2" t="e">
        <f t="shared" si="172"/>
        <v>#N/A</v>
      </c>
      <c r="F327" s="2" t="e">
        <f t="shared" si="173"/>
        <v>#N/A</v>
      </c>
      <c r="G327" s="2" t="e">
        <f t="shared" si="174"/>
        <v>#N/A</v>
      </c>
      <c r="I327" s="2" t="e">
        <f>IF(AND(AI$3,#REF!&gt;0),(K$17+1)*COS($A327*PI()/180)+#REF!,NA())</f>
        <v>#REF!</v>
      </c>
      <c r="J327" s="2" t="e">
        <f>IF(AND(AI$3,#REF!&gt;0),(K$17+1)*SIN($A327*PI()/180)+K$9,NA())</f>
        <v>#REF!</v>
      </c>
      <c r="L327" s="2" t="e">
        <f t="shared" si="175"/>
        <v>#N/A</v>
      </c>
      <c r="M327" s="2" t="e">
        <f t="shared" si="176"/>
        <v>#N/A</v>
      </c>
      <c r="O327" s="2" t="e">
        <f t="shared" si="177"/>
        <v>#N/A</v>
      </c>
      <c r="P327" s="2" t="e">
        <f t="shared" si="178"/>
        <v>#N/A</v>
      </c>
      <c r="R327" s="2" t="e">
        <f t="shared" si="179"/>
        <v>#N/A</v>
      </c>
      <c r="S327" s="2" t="e">
        <f t="shared" si="180"/>
        <v>#N/A</v>
      </c>
      <c r="U327" s="2" t="e">
        <f t="shared" si="181"/>
        <v>#N/A</v>
      </c>
      <c r="V327" s="2" t="e">
        <f t="shared" si="182"/>
        <v>#N/A</v>
      </c>
      <c r="X327" s="2" t="e">
        <f t="shared" si="183"/>
        <v>#N/A</v>
      </c>
      <c r="Y327" s="2" t="e">
        <f t="shared" si="184"/>
        <v>#N/A</v>
      </c>
      <c r="AA327" s="2" t="e">
        <f t="shared" si="185"/>
        <v>#N/A</v>
      </c>
      <c r="AB327" s="2" t="e">
        <f t="shared" si="186"/>
        <v>#N/A</v>
      </c>
      <c r="AO327" s="2">
        <f>IF(A219,IF($A$17,$AO$5-0.75,-3),-4)</f>
        <v>-2.4500000000000002</v>
      </c>
      <c r="AP327" s="2">
        <f>IF($A$17,$AP$7+0.6,-3)</f>
        <v>8.91</v>
      </c>
      <c r="BB327" s="5"/>
      <c r="BC327" s="5"/>
      <c r="BD327" s="5"/>
      <c r="BE327" s="5"/>
      <c r="BF327" s="5"/>
      <c r="BG327" s="5"/>
      <c r="BH327" s="5"/>
    </row>
    <row r="328" spans="1:60" s="2" customFormat="1">
      <c r="A328" s="70">
        <v>90</v>
      </c>
      <c r="C328" s="2" t="e">
        <f t="shared" si="171"/>
        <v>#N/A</v>
      </c>
      <c r="D328" s="2" t="e">
        <f t="shared" si="172"/>
        <v>#N/A</v>
      </c>
      <c r="F328" s="2" t="e">
        <f t="shared" si="173"/>
        <v>#N/A</v>
      </c>
      <c r="G328" s="2" t="e">
        <f t="shared" si="174"/>
        <v>#N/A</v>
      </c>
      <c r="I328" s="2" t="e">
        <f>IF(AND(AI$3,#REF!&gt;0),(K$17+1)*COS($A328*PI()/180)+#REF!,NA())</f>
        <v>#REF!</v>
      </c>
      <c r="J328" s="2" t="e">
        <f>IF(AND(AI$3,#REF!&gt;0),(K$17+1)*SIN($A328*PI()/180)+K$9,NA())</f>
        <v>#REF!</v>
      </c>
      <c r="L328" s="2" t="e">
        <f t="shared" si="175"/>
        <v>#N/A</v>
      </c>
      <c r="M328" s="2" t="e">
        <f t="shared" si="176"/>
        <v>#N/A</v>
      </c>
      <c r="O328" s="2" t="e">
        <f t="shared" si="177"/>
        <v>#N/A</v>
      </c>
      <c r="P328" s="2" t="e">
        <f t="shared" si="178"/>
        <v>#N/A</v>
      </c>
      <c r="R328" s="2" t="e">
        <f t="shared" si="179"/>
        <v>#N/A</v>
      </c>
      <c r="S328" s="2" t="e">
        <f t="shared" si="180"/>
        <v>#N/A</v>
      </c>
      <c r="U328" s="2" t="e">
        <f t="shared" si="181"/>
        <v>#N/A</v>
      </c>
      <c r="V328" s="2" t="e">
        <f t="shared" si="182"/>
        <v>#N/A</v>
      </c>
      <c r="X328" s="2" t="e">
        <f t="shared" si="183"/>
        <v>#N/A</v>
      </c>
      <c r="Y328" s="2" t="e">
        <f t="shared" si="184"/>
        <v>#N/A</v>
      </c>
      <c r="AA328" s="2" t="e">
        <f t="shared" si="185"/>
        <v>#N/A</v>
      </c>
      <c r="AB328" s="2" t="e">
        <f t="shared" si="186"/>
        <v>#N/A</v>
      </c>
      <c r="AO328" s="2">
        <f>IF(A214,IF($A$17,$AO$6-0.75,-3),-4)</f>
        <v>-5.0000000000000044E-2</v>
      </c>
      <c r="AP328" s="2">
        <f>IF($A$17,$AP$5+0.6,-3)</f>
        <v>0.51</v>
      </c>
      <c r="BB328" s="5"/>
      <c r="BC328" s="5"/>
      <c r="BD328" s="5"/>
      <c r="BE328" s="5"/>
      <c r="BF328" s="5"/>
      <c r="BG328" s="5"/>
      <c r="BH328" s="5"/>
    </row>
    <row r="329" spans="1:60" s="2" customFormat="1">
      <c r="A329" s="70">
        <v>105</v>
      </c>
      <c r="C329" s="2" t="e">
        <f t="shared" si="171"/>
        <v>#N/A</v>
      </c>
      <c r="D329" s="2" t="e">
        <f t="shared" si="172"/>
        <v>#N/A</v>
      </c>
      <c r="F329" s="2" t="e">
        <f t="shared" si="173"/>
        <v>#N/A</v>
      </c>
      <c r="G329" s="2" t="e">
        <f t="shared" si="174"/>
        <v>#N/A</v>
      </c>
      <c r="I329" s="2" t="e">
        <f>IF(AND(AI$3,#REF!&gt;0),(K$17+1)*COS($A329*PI()/180)+#REF!,NA())</f>
        <v>#REF!</v>
      </c>
      <c r="J329" s="2" t="e">
        <f>IF(AND(AI$3,#REF!&gt;0),(K$17+1)*SIN($A329*PI()/180)+K$9,NA())</f>
        <v>#REF!</v>
      </c>
      <c r="L329" s="2" t="e">
        <f t="shared" si="175"/>
        <v>#N/A</v>
      </c>
      <c r="M329" s="2" t="e">
        <f t="shared" si="176"/>
        <v>#N/A</v>
      </c>
      <c r="O329" s="2" t="e">
        <f t="shared" si="177"/>
        <v>#N/A</v>
      </c>
      <c r="P329" s="2" t="e">
        <f t="shared" si="178"/>
        <v>#N/A</v>
      </c>
      <c r="R329" s="2" t="e">
        <f t="shared" si="179"/>
        <v>#N/A</v>
      </c>
      <c r="S329" s="2" t="e">
        <f t="shared" si="180"/>
        <v>#N/A</v>
      </c>
      <c r="U329" s="2" t="e">
        <f t="shared" si="181"/>
        <v>#N/A</v>
      </c>
      <c r="V329" s="2" t="e">
        <f t="shared" si="182"/>
        <v>#N/A</v>
      </c>
      <c r="X329" s="2" t="e">
        <f t="shared" si="183"/>
        <v>#N/A</v>
      </c>
      <c r="Y329" s="2" t="e">
        <f t="shared" si="184"/>
        <v>#N/A</v>
      </c>
      <c r="AA329" s="2" t="e">
        <f t="shared" si="185"/>
        <v>#N/A</v>
      </c>
      <c r="AB329" s="2" t="e">
        <f t="shared" si="186"/>
        <v>#N/A</v>
      </c>
      <c r="AO329" s="2">
        <f>IF(A217,IF($A$17,$AO$6-0.75,-3),-4)</f>
        <v>-4</v>
      </c>
      <c r="AP329" s="2">
        <f>IF($A$17,$AP$6+0.6,-3)</f>
        <v>4.71</v>
      </c>
      <c r="BB329" s="5"/>
      <c r="BC329" s="5"/>
      <c r="BD329" s="5"/>
      <c r="BE329" s="5"/>
      <c r="BF329" s="5"/>
      <c r="BG329" s="5"/>
      <c r="BH329" s="5"/>
    </row>
    <row r="330" spans="1:60" s="2" customFormat="1">
      <c r="A330" s="70">
        <v>120</v>
      </c>
      <c r="C330" s="2" t="e">
        <f t="shared" si="171"/>
        <v>#N/A</v>
      </c>
      <c r="D330" s="2" t="e">
        <f t="shared" si="172"/>
        <v>#N/A</v>
      </c>
      <c r="F330" s="2" t="e">
        <f t="shared" si="173"/>
        <v>#N/A</v>
      </c>
      <c r="G330" s="2" t="e">
        <f t="shared" si="174"/>
        <v>#N/A</v>
      </c>
      <c r="I330" s="2" t="e">
        <f>IF(AND(AI$3,#REF!&gt;0),(K$17+1)*COS($A330*PI()/180)+#REF!,NA())</f>
        <v>#REF!</v>
      </c>
      <c r="J330" s="2" t="e">
        <f>IF(AND(AI$3,#REF!&gt;0),(K$17+1)*SIN($A330*PI()/180)+K$9,NA())</f>
        <v>#REF!</v>
      </c>
      <c r="L330" s="2" t="e">
        <f t="shared" si="175"/>
        <v>#N/A</v>
      </c>
      <c r="M330" s="2" t="e">
        <f t="shared" si="176"/>
        <v>#N/A</v>
      </c>
      <c r="O330" s="2" t="e">
        <f t="shared" si="177"/>
        <v>#N/A</v>
      </c>
      <c r="P330" s="2" t="e">
        <f t="shared" si="178"/>
        <v>#N/A</v>
      </c>
      <c r="R330" s="2" t="e">
        <f t="shared" si="179"/>
        <v>#N/A</v>
      </c>
      <c r="S330" s="2" t="e">
        <f t="shared" si="180"/>
        <v>#N/A</v>
      </c>
      <c r="U330" s="2" t="e">
        <f t="shared" si="181"/>
        <v>#N/A</v>
      </c>
      <c r="V330" s="2" t="e">
        <f t="shared" si="182"/>
        <v>#N/A</v>
      </c>
      <c r="X330" s="2" t="e">
        <f t="shared" si="183"/>
        <v>#N/A</v>
      </c>
      <c r="Y330" s="2" t="e">
        <f t="shared" si="184"/>
        <v>#N/A</v>
      </c>
      <c r="AA330" s="2" t="e">
        <f t="shared" si="185"/>
        <v>#N/A</v>
      </c>
      <c r="AB330" s="2" t="e">
        <f t="shared" si="186"/>
        <v>#N/A</v>
      </c>
      <c r="AO330" s="2">
        <f>IF(A220,IF($A$17,$AO$6-0.75,-3),-4)</f>
        <v>-5.0000000000000044E-2</v>
      </c>
      <c r="AP330" s="2">
        <f>IF($A$17,$AP$7+0.6,-3)</f>
        <v>8.91</v>
      </c>
      <c r="BB330" s="5"/>
      <c r="BC330" s="5"/>
      <c r="BD330" s="5"/>
      <c r="BE330" s="5"/>
      <c r="BF330" s="5"/>
      <c r="BG330" s="5"/>
      <c r="BH330" s="5"/>
    </row>
    <row r="331" spans="1:60" s="2" customFormat="1">
      <c r="A331" s="70">
        <v>135</v>
      </c>
      <c r="C331" s="2" t="e">
        <f t="shared" si="171"/>
        <v>#N/A</v>
      </c>
      <c r="D331" s="2" t="e">
        <f t="shared" si="172"/>
        <v>#N/A</v>
      </c>
      <c r="F331" s="2" t="e">
        <f t="shared" si="173"/>
        <v>#N/A</v>
      </c>
      <c r="G331" s="2" t="e">
        <f t="shared" si="174"/>
        <v>#N/A</v>
      </c>
      <c r="I331" s="2" t="e">
        <f>IF(AND(AI$3,#REF!&gt;0),(K$17+1)*COS($A331*PI()/180)+#REF!,NA())</f>
        <v>#REF!</v>
      </c>
      <c r="J331" s="2" t="e">
        <f>IF(AND(AI$3,#REF!&gt;0),(K$17+1)*SIN($A331*PI()/180)+K$9,NA())</f>
        <v>#REF!</v>
      </c>
      <c r="L331" s="2" t="e">
        <f t="shared" si="175"/>
        <v>#N/A</v>
      </c>
      <c r="M331" s="2" t="e">
        <f t="shared" si="176"/>
        <v>#N/A</v>
      </c>
      <c r="O331" s="2" t="e">
        <f t="shared" si="177"/>
        <v>#N/A</v>
      </c>
      <c r="P331" s="2" t="e">
        <f t="shared" si="178"/>
        <v>#N/A</v>
      </c>
      <c r="R331" s="2" t="e">
        <f t="shared" si="179"/>
        <v>#N/A</v>
      </c>
      <c r="S331" s="2" t="e">
        <f t="shared" si="180"/>
        <v>#N/A</v>
      </c>
      <c r="U331" s="2" t="e">
        <f t="shared" si="181"/>
        <v>#N/A</v>
      </c>
      <c r="V331" s="2" t="e">
        <f t="shared" si="182"/>
        <v>#N/A</v>
      </c>
      <c r="X331" s="2" t="e">
        <f t="shared" si="183"/>
        <v>#N/A</v>
      </c>
      <c r="Y331" s="2" t="e">
        <f t="shared" si="184"/>
        <v>#N/A</v>
      </c>
      <c r="AA331" s="2" t="e">
        <f t="shared" si="185"/>
        <v>#N/A</v>
      </c>
      <c r="AB331" s="2" t="e">
        <f t="shared" si="186"/>
        <v>#N/A</v>
      </c>
      <c r="AO331" s="2">
        <f>IF(A215,IF($A$17,$AO$7-0.75,-3),-4)</f>
        <v>2.3499999999999996</v>
      </c>
      <c r="AP331" s="2">
        <f>IF($A$17,$AP$5+0.6,-3)</f>
        <v>0.51</v>
      </c>
      <c r="BB331" s="5"/>
      <c r="BC331" s="5"/>
      <c r="BD331" s="5"/>
      <c r="BE331" s="5"/>
      <c r="BF331" s="5"/>
      <c r="BG331" s="5"/>
      <c r="BH331" s="5"/>
    </row>
    <row r="332" spans="1:60" s="2" customFormat="1">
      <c r="A332" s="70">
        <v>150</v>
      </c>
      <c r="C332" s="2" t="e">
        <f t="shared" si="171"/>
        <v>#N/A</v>
      </c>
      <c r="D332" s="2" t="e">
        <f t="shared" si="172"/>
        <v>#N/A</v>
      </c>
      <c r="F332" s="2" t="e">
        <f t="shared" si="173"/>
        <v>#N/A</v>
      </c>
      <c r="G332" s="2" t="e">
        <f t="shared" si="174"/>
        <v>#N/A</v>
      </c>
      <c r="I332" s="2" t="e">
        <f>IF(AND(AI$3,#REF!&gt;0),(K$17+1)*COS($A332*PI()/180)+#REF!,NA())</f>
        <v>#REF!</v>
      </c>
      <c r="J332" s="2" t="e">
        <f>IF(AND(AI$3,#REF!&gt;0),(K$17+1)*SIN($A332*PI()/180)+K$9,NA())</f>
        <v>#REF!</v>
      </c>
      <c r="L332" s="2" t="e">
        <f t="shared" si="175"/>
        <v>#N/A</v>
      </c>
      <c r="M332" s="2" t="e">
        <f t="shared" si="176"/>
        <v>#N/A</v>
      </c>
      <c r="O332" s="2" t="e">
        <f t="shared" si="177"/>
        <v>#N/A</v>
      </c>
      <c r="P332" s="2" t="e">
        <f t="shared" si="178"/>
        <v>#N/A</v>
      </c>
      <c r="R332" s="2" t="e">
        <f t="shared" si="179"/>
        <v>#N/A</v>
      </c>
      <c r="S332" s="2" t="e">
        <f t="shared" si="180"/>
        <v>#N/A</v>
      </c>
      <c r="U332" s="2" t="e">
        <f t="shared" si="181"/>
        <v>#N/A</v>
      </c>
      <c r="V332" s="2" t="e">
        <f t="shared" si="182"/>
        <v>#N/A</v>
      </c>
      <c r="X332" s="2" t="e">
        <f t="shared" si="183"/>
        <v>#N/A</v>
      </c>
      <c r="Y332" s="2" t="e">
        <f t="shared" si="184"/>
        <v>#N/A</v>
      </c>
      <c r="AA332" s="2" t="e">
        <f t="shared" si="185"/>
        <v>#N/A</v>
      </c>
      <c r="AB332" s="2" t="e">
        <f t="shared" si="186"/>
        <v>#N/A</v>
      </c>
      <c r="AO332" s="2">
        <f>IF(A218,IF($A$17,$AO$7-0.75,-3),-4)</f>
        <v>-4</v>
      </c>
      <c r="AP332" s="2">
        <f>IF($A$17,$AP$6+0.6,-3)</f>
        <v>4.71</v>
      </c>
      <c r="BB332" s="5"/>
      <c r="BC332" s="5"/>
      <c r="BD332" s="5"/>
      <c r="BE332" s="5"/>
      <c r="BF332" s="5"/>
      <c r="BG332" s="5"/>
      <c r="BH332" s="5"/>
    </row>
    <row r="333" spans="1:60" s="2" customFormat="1">
      <c r="A333" s="70">
        <v>165</v>
      </c>
      <c r="C333" s="2" t="e">
        <f t="shared" si="171"/>
        <v>#N/A</v>
      </c>
      <c r="D333" s="2" t="e">
        <f t="shared" si="172"/>
        <v>#N/A</v>
      </c>
      <c r="F333" s="2" t="e">
        <f t="shared" si="173"/>
        <v>#N/A</v>
      </c>
      <c r="G333" s="2" t="e">
        <f t="shared" si="174"/>
        <v>#N/A</v>
      </c>
      <c r="I333" s="2" t="e">
        <f>IF(AND(AI$3,#REF!&gt;0),(K$17+1)*COS($A333*PI()/180)+#REF!,NA())</f>
        <v>#REF!</v>
      </c>
      <c r="J333" s="2" t="e">
        <f>IF(AND(AI$3,#REF!&gt;0),(K$17+1)*SIN($A333*PI()/180)+K$9,NA())</f>
        <v>#REF!</v>
      </c>
      <c r="L333" s="2" t="e">
        <f t="shared" si="175"/>
        <v>#N/A</v>
      </c>
      <c r="M333" s="2" t="e">
        <f t="shared" si="176"/>
        <v>#N/A</v>
      </c>
      <c r="O333" s="2" t="e">
        <f t="shared" si="177"/>
        <v>#N/A</v>
      </c>
      <c r="P333" s="2" t="e">
        <f t="shared" si="178"/>
        <v>#N/A</v>
      </c>
      <c r="R333" s="2" t="e">
        <f t="shared" si="179"/>
        <v>#N/A</v>
      </c>
      <c r="S333" s="2" t="e">
        <f t="shared" si="180"/>
        <v>#N/A</v>
      </c>
      <c r="U333" s="2" t="e">
        <f t="shared" si="181"/>
        <v>#N/A</v>
      </c>
      <c r="V333" s="2" t="e">
        <f t="shared" si="182"/>
        <v>#N/A</v>
      </c>
      <c r="X333" s="2" t="e">
        <f t="shared" si="183"/>
        <v>#N/A</v>
      </c>
      <c r="Y333" s="2" t="e">
        <f t="shared" si="184"/>
        <v>#N/A</v>
      </c>
      <c r="AA333" s="2" t="e">
        <f t="shared" si="185"/>
        <v>#N/A</v>
      </c>
      <c r="AB333" s="2" t="e">
        <f t="shared" si="186"/>
        <v>#N/A</v>
      </c>
      <c r="AO333" s="2">
        <f>IF(A221,IF($A$17,$AO$7-0.75,-3),-4)</f>
        <v>2.3499999999999996</v>
      </c>
      <c r="AP333" s="2">
        <f>IF($A$17,$AP$7+0.6,-3)</f>
        <v>8.91</v>
      </c>
      <c r="BB333" s="5"/>
      <c r="BC333" s="5"/>
      <c r="BD333" s="5"/>
      <c r="BE333" s="5"/>
      <c r="BF333" s="5"/>
      <c r="BG333" s="5"/>
      <c r="BH333" s="5"/>
    </row>
    <row r="334" spans="1:60" s="2" customFormat="1">
      <c r="A334" s="70">
        <v>180</v>
      </c>
      <c r="C334" s="2" t="e">
        <f t="shared" si="171"/>
        <v>#N/A</v>
      </c>
      <c r="D334" s="2" t="e">
        <f t="shared" si="172"/>
        <v>#N/A</v>
      </c>
      <c r="F334" s="2" t="e">
        <f t="shared" si="173"/>
        <v>#N/A</v>
      </c>
      <c r="G334" s="2" t="e">
        <f t="shared" si="174"/>
        <v>#N/A</v>
      </c>
      <c r="I334" s="2" t="e">
        <f>IF(AND(AI$3,#REF!&gt;0),(K$17+1)*COS($A334*PI()/180)+#REF!,NA())</f>
        <v>#REF!</v>
      </c>
      <c r="J334" s="2" t="e">
        <f>IF(AND(AI$3,#REF!&gt;0),(K$17+1)*SIN($A334*PI()/180)+K$9,NA())</f>
        <v>#REF!</v>
      </c>
      <c r="L334" s="2" t="e">
        <f t="shared" si="175"/>
        <v>#N/A</v>
      </c>
      <c r="M334" s="2" t="e">
        <f t="shared" si="176"/>
        <v>#N/A</v>
      </c>
      <c r="O334" s="2" t="e">
        <f t="shared" si="177"/>
        <v>#N/A</v>
      </c>
      <c r="P334" s="2" t="e">
        <f t="shared" si="178"/>
        <v>#N/A</v>
      </c>
      <c r="R334" s="2" t="e">
        <f t="shared" si="179"/>
        <v>#N/A</v>
      </c>
      <c r="S334" s="2" t="e">
        <f t="shared" si="180"/>
        <v>#N/A</v>
      </c>
      <c r="U334" s="2" t="e">
        <f t="shared" si="181"/>
        <v>#N/A</v>
      </c>
      <c r="V334" s="2" t="e">
        <f t="shared" si="182"/>
        <v>#N/A</v>
      </c>
      <c r="X334" s="2" t="e">
        <f t="shared" si="183"/>
        <v>#N/A</v>
      </c>
      <c r="Y334" s="2" t="e">
        <f t="shared" si="184"/>
        <v>#N/A</v>
      </c>
      <c r="AA334" s="2" t="e">
        <f t="shared" si="185"/>
        <v>#N/A</v>
      </c>
      <c r="AB334" s="2" t="e">
        <f t="shared" si="186"/>
        <v>#N/A</v>
      </c>
      <c r="BB334" s="5"/>
      <c r="BC334" s="5"/>
      <c r="BD334" s="5"/>
      <c r="BE334" s="5"/>
      <c r="BF334" s="5"/>
      <c r="BG334" s="5"/>
      <c r="BH334" s="5"/>
    </row>
    <row r="335" spans="1:60" s="2" customFormat="1">
      <c r="A335" s="70">
        <v>195</v>
      </c>
      <c r="C335" s="2" t="e">
        <f t="shared" si="171"/>
        <v>#N/A</v>
      </c>
      <c r="D335" s="2" t="e">
        <f t="shared" si="172"/>
        <v>#N/A</v>
      </c>
      <c r="F335" s="2" t="e">
        <f t="shared" si="173"/>
        <v>#N/A</v>
      </c>
      <c r="G335" s="2" t="e">
        <f t="shared" si="174"/>
        <v>#N/A</v>
      </c>
      <c r="I335" s="2" t="e">
        <f>IF(AND(AI$3,#REF!&gt;0),(K$17+1)*COS($A335*PI()/180)+#REF!,NA())</f>
        <v>#REF!</v>
      </c>
      <c r="J335" s="2" t="e">
        <f>IF(AND(AI$3,#REF!&gt;0),(K$17+1)*SIN($A335*PI()/180)+K$9,NA())</f>
        <v>#REF!</v>
      </c>
      <c r="L335" s="2" t="e">
        <f t="shared" si="175"/>
        <v>#N/A</v>
      </c>
      <c r="M335" s="2" t="e">
        <f t="shared" si="176"/>
        <v>#N/A</v>
      </c>
      <c r="O335" s="2" t="e">
        <f t="shared" si="177"/>
        <v>#N/A</v>
      </c>
      <c r="P335" s="2" t="e">
        <f t="shared" si="178"/>
        <v>#N/A</v>
      </c>
      <c r="R335" s="2" t="e">
        <f t="shared" si="179"/>
        <v>#N/A</v>
      </c>
      <c r="S335" s="2" t="e">
        <f t="shared" si="180"/>
        <v>#N/A</v>
      </c>
      <c r="U335" s="2" t="e">
        <f t="shared" si="181"/>
        <v>#N/A</v>
      </c>
      <c r="V335" s="2" t="e">
        <f t="shared" si="182"/>
        <v>#N/A</v>
      </c>
      <c r="X335" s="2" t="e">
        <f t="shared" si="183"/>
        <v>#N/A</v>
      </c>
      <c r="Y335" s="2" t="e">
        <f t="shared" si="184"/>
        <v>#N/A</v>
      </c>
      <c r="AA335" s="2" t="e">
        <f t="shared" si="185"/>
        <v>#N/A</v>
      </c>
      <c r="AB335" s="2" t="e">
        <f t="shared" si="186"/>
        <v>#N/A</v>
      </c>
      <c r="BB335" s="5"/>
      <c r="BC335" s="5"/>
      <c r="BD335" s="5"/>
      <c r="BE335" s="5"/>
      <c r="BF335" s="5"/>
      <c r="BG335" s="5"/>
      <c r="BH335" s="5"/>
    </row>
    <row r="336" spans="1:60" s="2" customFormat="1">
      <c r="A336" s="70">
        <v>210</v>
      </c>
      <c r="C336" s="2" t="e">
        <f t="shared" si="171"/>
        <v>#N/A</v>
      </c>
      <c r="D336" s="2" t="e">
        <f t="shared" si="172"/>
        <v>#N/A</v>
      </c>
      <c r="F336" s="2" t="e">
        <f t="shared" si="173"/>
        <v>#N/A</v>
      </c>
      <c r="G336" s="2" t="e">
        <f t="shared" si="174"/>
        <v>#N/A</v>
      </c>
      <c r="I336" s="2" t="e">
        <f>IF(AND(AI$3,#REF!&gt;0),(K$17+1)*COS($A336*PI()/180)+#REF!,NA())</f>
        <v>#REF!</v>
      </c>
      <c r="J336" s="2" t="e">
        <f>IF(AND(AI$3,#REF!&gt;0),(K$17+1)*SIN($A336*PI()/180)+K$9,NA())</f>
        <v>#REF!</v>
      </c>
      <c r="L336" s="2" t="e">
        <f t="shared" si="175"/>
        <v>#N/A</v>
      </c>
      <c r="M336" s="2" t="e">
        <f t="shared" si="176"/>
        <v>#N/A</v>
      </c>
      <c r="O336" s="2" t="e">
        <f t="shared" si="177"/>
        <v>#N/A</v>
      </c>
      <c r="P336" s="2" t="e">
        <f t="shared" si="178"/>
        <v>#N/A</v>
      </c>
      <c r="R336" s="2" t="e">
        <f t="shared" si="179"/>
        <v>#N/A</v>
      </c>
      <c r="S336" s="2" t="e">
        <f t="shared" si="180"/>
        <v>#N/A</v>
      </c>
      <c r="U336" s="2" t="e">
        <f t="shared" si="181"/>
        <v>#N/A</v>
      </c>
      <c r="V336" s="2" t="e">
        <f t="shared" si="182"/>
        <v>#N/A</v>
      </c>
      <c r="X336" s="2" t="e">
        <f t="shared" si="183"/>
        <v>#N/A</v>
      </c>
      <c r="Y336" s="2" t="e">
        <f t="shared" si="184"/>
        <v>#N/A</v>
      </c>
      <c r="AA336" s="2" t="e">
        <f t="shared" si="185"/>
        <v>#N/A</v>
      </c>
      <c r="AB336" s="2" t="e">
        <f t="shared" si="186"/>
        <v>#N/A</v>
      </c>
      <c r="BB336" s="5"/>
      <c r="BC336" s="5"/>
      <c r="BD336" s="5"/>
      <c r="BE336" s="5"/>
      <c r="BF336" s="5"/>
      <c r="BG336" s="5"/>
      <c r="BH336" s="5"/>
    </row>
    <row r="337" spans="1:60" s="2" customFormat="1">
      <c r="A337" s="70">
        <v>225</v>
      </c>
      <c r="C337" s="2" t="e">
        <f t="shared" si="171"/>
        <v>#N/A</v>
      </c>
      <c r="D337" s="2" t="e">
        <f t="shared" si="172"/>
        <v>#N/A</v>
      </c>
      <c r="F337" s="2" t="e">
        <f t="shared" si="173"/>
        <v>#N/A</v>
      </c>
      <c r="G337" s="2" t="e">
        <f t="shared" si="174"/>
        <v>#N/A</v>
      </c>
      <c r="I337" s="2" t="e">
        <f>IF(AND(AI$3,#REF!&gt;0),(K$17+1)*COS($A337*PI()/180)+#REF!,NA())</f>
        <v>#REF!</v>
      </c>
      <c r="J337" s="2" t="e">
        <f>IF(AND(AI$3,#REF!&gt;0),(K$17+1)*SIN($A337*PI()/180)+K$9,NA())</f>
        <v>#REF!</v>
      </c>
      <c r="L337" s="2" t="e">
        <f t="shared" si="175"/>
        <v>#N/A</v>
      </c>
      <c r="M337" s="2" t="e">
        <f t="shared" si="176"/>
        <v>#N/A</v>
      </c>
      <c r="O337" s="2" t="e">
        <f t="shared" si="177"/>
        <v>#N/A</v>
      </c>
      <c r="P337" s="2" t="e">
        <f t="shared" si="178"/>
        <v>#N/A</v>
      </c>
      <c r="R337" s="2" t="e">
        <f t="shared" si="179"/>
        <v>#N/A</v>
      </c>
      <c r="S337" s="2" t="e">
        <f t="shared" si="180"/>
        <v>#N/A</v>
      </c>
      <c r="U337" s="2" t="e">
        <f t="shared" si="181"/>
        <v>#N/A</v>
      </c>
      <c r="V337" s="2" t="e">
        <f t="shared" si="182"/>
        <v>#N/A</v>
      </c>
      <c r="X337" s="2" t="e">
        <f t="shared" si="183"/>
        <v>#N/A</v>
      </c>
      <c r="Y337" s="2" t="e">
        <f t="shared" si="184"/>
        <v>#N/A</v>
      </c>
      <c r="AA337" s="2" t="e">
        <f t="shared" si="185"/>
        <v>#N/A</v>
      </c>
      <c r="AB337" s="2" t="e">
        <f t="shared" si="186"/>
        <v>#N/A</v>
      </c>
      <c r="BB337" s="5"/>
      <c r="BC337" s="5"/>
      <c r="BD337" s="5"/>
      <c r="BE337" s="5"/>
      <c r="BF337" s="5"/>
      <c r="BG337" s="5"/>
      <c r="BH337" s="5"/>
    </row>
    <row r="338" spans="1:60" s="2" customFormat="1">
      <c r="A338" s="70">
        <v>240</v>
      </c>
      <c r="C338" s="2" t="e">
        <f t="shared" si="171"/>
        <v>#N/A</v>
      </c>
      <c r="D338" s="2" t="e">
        <f t="shared" si="172"/>
        <v>#N/A</v>
      </c>
      <c r="F338" s="2" t="e">
        <f t="shared" si="173"/>
        <v>#N/A</v>
      </c>
      <c r="G338" s="2" t="e">
        <f t="shared" si="174"/>
        <v>#N/A</v>
      </c>
      <c r="I338" s="2" t="e">
        <f>IF(AND(AI$3,#REF!&gt;0),(K$17+1)*COS($A338*PI()/180)+#REF!,NA())</f>
        <v>#REF!</v>
      </c>
      <c r="J338" s="2" t="e">
        <f>IF(AND(AI$3,#REF!&gt;0),(K$17+1)*SIN($A338*PI()/180)+K$9,NA())</f>
        <v>#REF!</v>
      </c>
      <c r="L338" s="2" t="e">
        <f t="shared" si="175"/>
        <v>#N/A</v>
      </c>
      <c r="M338" s="2" t="e">
        <f t="shared" si="176"/>
        <v>#N/A</v>
      </c>
      <c r="O338" s="2" t="e">
        <f t="shared" si="177"/>
        <v>#N/A</v>
      </c>
      <c r="P338" s="2" t="e">
        <f t="shared" si="178"/>
        <v>#N/A</v>
      </c>
      <c r="R338" s="2" t="e">
        <f t="shared" si="179"/>
        <v>#N/A</v>
      </c>
      <c r="S338" s="2" t="e">
        <f t="shared" si="180"/>
        <v>#N/A</v>
      </c>
      <c r="U338" s="2" t="e">
        <f t="shared" si="181"/>
        <v>#N/A</v>
      </c>
      <c r="V338" s="2" t="e">
        <f t="shared" si="182"/>
        <v>#N/A</v>
      </c>
      <c r="X338" s="2" t="e">
        <f t="shared" si="183"/>
        <v>#N/A</v>
      </c>
      <c r="Y338" s="2" t="e">
        <f t="shared" si="184"/>
        <v>#N/A</v>
      </c>
      <c r="AA338" s="2" t="e">
        <f t="shared" si="185"/>
        <v>#N/A</v>
      </c>
      <c r="AB338" s="2" t="e">
        <f t="shared" si="186"/>
        <v>#N/A</v>
      </c>
      <c r="BB338" s="5"/>
      <c r="BC338" s="5"/>
      <c r="BD338" s="5"/>
      <c r="BE338" s="5"/>
      <c r="BF338" s="5"/>
      <c r="BG338" s="5"/>
      <c r="BH338" s="5"/>
    </row>
    <row r="339" spans="1:60" s="2" customFormat="1">
      <c r="A339" s="70">
        <v>255</v>
      </c>
      <c r="C339" s="2" t="e">
        <f t="shared" si="171"/>
        <v>#N/A</v>
      </c>
      <c r="D339" s="2" t="e">
        <f t="shared" si="172"/>
        <v>#N/A</v>
      </c>
      <c r="F339" s="2" t="e">
        <f t="shared" si="173"/>
        <v>#N/A</v>
      </c>
      <c r="G339" s="2" t="e">
        <f t="shared" si="174"/>
        <v>#N/A</v>
      </c>
      <c r="I339" s="2" t="e">
        <f>IF(AND(AI$3,#REF!&gt;0),(K$17+1)*COS($A339*PI()/180)+#REF!,NA())</f>
        <v>#REF!</v>
      </c>
      <c r="J339" s="2" t="e">
        <f>IF(AND(AI$3,#REF!&gt;0),(K$17+1)*SIN($A339*PI()/180)+K$9,NA())</f>
        <v>#REF!</v>
      </c>
      <c r="L339" s="2" t="e">
        <f t="shared" si="175"/>
        <v>#N/A</v>
      </c>
      <c r="M339" s="2" t="e">
        <f t="shared" si="176"/>
        <v>#N/A</v>
      </c>
      <c r="O339" s="2" t="e">
        <f t="shared" si="177"/>
        <v>#N/A</v>
      </c>
      <c r="P339" s="2" t="e">
        <f t="shared" si="178"/>
        <v>#N/A</v>
      </c>
      <c r="R339" s="2" t="e">
        <f t="shared" si="179"/>
        <v>#N/A</v>
      </c>
      <c r="S339" s="2" t="e">
        <f t="shared" si="180"/>
        <v>#N/A</v>
      </c>
      <c r="U339" s="2" t="e">
        <f t="shared" si="181"/>
        <v>#N/A</v>
      </c>
      <c r="V339" s="2" t="e">
        <f t="shared" si="182"/>
        <v>#N/A</v>
      </c>
      <c r="X339" s="2" t="e">
        <f t="shared" si="183"/>
        <v>#N/A</v>
      </c>
      <c r="Y339" s="2" t="e">
        <f t="shared" si="184"/>
        <v>#N/A</v>
      </c>
      <c r="AA339" s="2" t="e">
        <f t="shared" si="185"/>
        <v>#N/A</v>
      </c>
      <c r="AB339" s="2" t="e">
        <f t="shared" si="186"/>
        <v>#N/A</v>
      </c>
      <c r="BB339" s="5"/>
      <c r="BC339" s="5"/>
      <c r="BD339" s="5"/>
      <c r="BE339" s="5"/>
      <c r="BF339" s="5"/>
      <c r="BG339" s="5"/>
      <c r="BH339" s="5"/>
    </row>
    <row r="340" spans="1:60" s="2" customFormat="1">
      <c r="A340" s="70">
        <v>270</v>
      </c>
      <c r="C340" s="2" t="e">
        <f t="shared" si="171"/>
        <v>#N/A</v>
      </c>
      <c r="D340" s="2" t="e">
        <f t="shared" si="172"/>
        <v>#N/A</v>
      </c>
      <c r="F340" s="2" t="e">
        <f t="shared" si="173"/>
        <v>#N/A</v>
      </c>
      <c r="G340" s="2" t="e">
        <f t="shared" si="174"/>
        <v>#N/A</v>
      </c>
      <c r="I340" s="2" t="e">
        <f>IF(AND(AI$3,#REF!&gt;0),(K$17+1)*COS($A340*PI()/180)+#REF!,NA())</f>
        <v>#REF!</v>
      </c>
      <c r="J340" s="2" t="e">
        <f>IF(AND(AI$3,#REF!&gt;0),(K$17+1)*SIN($A340*PI()/180)+K$9,NA())</f>
        <v>#REF!</v>
      </c>
      <c r="L340" s="2" t="e">
        <f t="shared" si="175"/>
        <v>#N/A</v>
      </c>
      <c r="M340" s="2" t="e">
        <f t="shared" si="176"/>
        <v>#N/A</v>
      </c>
      <c r="O340" s="2" t="e">
        <f t="shared" si="177"/>
        <v>#N/A</v>
      </c>
      <c r="P340" s="2" t="e">
        <f t="shared" si="178"/>
        <v>#N/A</v>
      </c>
      <c r="R340" s="2" t="e">
        <f t="shared" si="179"/>
        <v>#N/A</v>
      </c>
      <c r="S340" s="2" t="e">
        <f t="shared" si="180"/>
        <v>#N/A</v>
      </c>
      <c r="U340" s="2" t="e">
        <f t="shared" si="181"/>
        <v>#N/A</v>
      </c>
      <c r="V340" s="2" t="e">
        <f t="shared" si="182"/>
        <v>#N/A</v>
      </c>
      <c r="X340" s="2" t="e">
        <f t="shared" si="183"/>
        <v>#N/A</v>
      </c>
      <c r="Y340" s="2" t="e">
        <f t="shared" si="184"/>
        <v>#N/A</v>
      </c>
      <c r="AA340" s="2" t="e">
        <f t="shared" si="185"/>
        <v>#N/A</v>
      </c>
      <c r="AB340" s="2" t="e">
        <f t="shared" si="186"/>
        <v>#N/A</v>
      </c>
      <c r="BB340" s="5"/>
      <c r="BC340" s="5"/>
      <c r="BD340" s="5"/>
      <c r="BE340" s="5"/>
      <c r="BF340" s="5"/>
      <c r="BG340" s="5"/>
      <c r="BH340" s="5"/>
    </row>
    <row r="341" spans="1:60" s="2" customFormat="1">
      <c r="A341" s="70">
        <v>285</v>
      </c>
      <c r="C341" s="2" t="e">
        <f t="shared" si="171"/>
        <v>#N/A</v>
      </c>
      <c r="D341" s="2" t="e">
        <f t="shared" si="172"/>
        <v>#N/A</v>
      </c>
      <c r="F341" s="2" t="e">
        <f t="shared" si="173"/>
        <v>#N/A</v>
      </c>
      <c r="G341" s="2" t="e">
        <f t="shared" si="174"/>
        <v>#N/A</v>
      </c>
      <c r="I341" s="2" t="e">
        <f>IF(AND(AI$3,#REF!&gt;0),(K$17+1)*COS($A341*PI()/180)+#REF!,NA())</f>
        <v>#REF!</v>
      </c>
      <c r="J341" s="2" t="e">
        <f>IF(AND(AI$3,#REF!&gt;0),(K$17+1)*SIN($A341*PI()/180)+K$9,NA())</f>
        <v>#REF!</v>
      </c>
      <c r="L341" s="2" t="e">
        <f t="shared" si="175"/>
        <v>#N/A</v>
      </c>
      <c r="M341" s="2" t="e">
        <f t="shared" si="176"/>
        <v>#N/A</v>
      </c>
      <c r="O341" s="2" t="e">
        <f t="shared" si="177"/>
        <v>#N/A</v>
      </c>
      <c r="P341" s="2" t="e">
        <f t="shared" si="178"/>
        <v>#N/A</v>
      </c>
      <c r="R341" s="2" t="e">
        <f t="shared" si="179"/>
        <v>#N/A</v>
      </c>
      <c r="S341" s="2" t="e">
        <f t="shared" si="180"/>
        <v>#N/A</v>
      </c>
      <c r="U341" s="2" t="e">
        <f t="shared" si="181"/>
        <v>#N/A</v>
      </c>
      <c r="V341" s="2" t="e">
        <f t="shared" si="182"/>
        <v>#N/A</v>
      </c>
      <c r="X341" s="2" t="e">
        <f t="shared" si="183"/>
        <v>#N/A</v>
      </c>
      <c r="Y341" s="2" t="e">
        <f t="shared" si="184"/>
        <v>#N/A</v>
      </c>
      <c r="AA341" s="2" t="e">
        <f t="shared" si="185"/>
        <v>#N/A</v>
      </c>
      <c r="AB341" s="2" t="e">
        <f t="shared" si="186"/>
        <v>#N/A</v>
      </c>
      <c r="BB341" s="5"/>
      <c r="BC341" s="5"/>
      <c r="BD341" s="5"/>
      <c r="BE341" s="5"/>
      <c r="BF341" s="5"/>
      <c r="BG341" s="5"/>
      <c r="BH341" s="5"/>
    </row>
    <row r="342" spans="1:60" s="2" customFormat="1">
      <c r="A342" s="70">
        <v>300</v>
      </c>
      <c r="C342" s="2" t="e">
        <f t="shared" si="171"/>
        <v>#N/A</v>
      </c>
      <c r="D342" s="2" t="e">
        <f t="shared" si="172"/>
        <v>#N/A</v>
      </c>
      <c r="F342" s="2" t="e">
        <f t="shared" si="173"/>
        <v>#N/A</v>
      </c>
      <c r="G342" s="2" t="e">
        <f t="shared" si="174"/>
        <v>#N/A</v>
      </c>
      <c r="I342" s="2" t="e">
        <f>IF(AND(AI$3,#REF!&gt;0),(K$17+1)*COS($A342*PI()/180)+#REF!,NA())</f>
        <v>#REF!</v>
      </c>
      <c r="J342" s="2" t="e">
        <f>IF(AND(AI$3,#REF!&gt;0),(K$17+1)*SIN($A342*PI()/180)+K$9,NA())</f>
        <v>#REF!</v>
      </c>
      <c r="L342" s="2" t="e">
        <f t="shared" si="175"/>
        <v>#N/A</v>
      </c>
      <c r="M342" s="2" t="e">
        <f t="shared" si="176"/>
        <v>#N/A</v>
      </c>
      <c r="O342" s="2" t="e">
        <f t="shared" si="177"/>
        <v>#N/A</v>
      </c>
      <c r="P342" s="2" t="e">
        <f t="shared" si="178"/>
        <v>#N/A</v>
      </c>
      <c r="R342" s="2" t="e">
        <f t="shared" si="179"/>
        <v>#N/A</v>
      </c>
      <c r="S342" s="2" t="e">
        <f t="shared" si="180"/>
        <v>#N/A</v>
      </c>
      <c r="U342" s="2" t="e">
        <f t="shared" si="181"/>
        <v>#N/A</v>
      </c>
      <c r="V342" s="2" t="e">
        <f t="shared" si="182"/>
        <v>#N/A</v>
      </c>
      <c r="X342" s="2" t="e">
        <f t="shared" si="183"/>
        <v>#N/A</v>
      </c>
      <c r="Y342" s="2" t="e">
        <f t="shared" si="184"/>
        <v>#N/A</v>
      </c>
      <c r="AA342" s="2" t="e">
        <f t="shared" si="185"/>
        <v>#N/A</v>
      </c>
      <c r="AB342" s="2" t="e">
        <f t="shared" si="186"/>
        <v>#N/A</v>
      </c>
      <c r="BB342" s="5"/>
      <c r="BC342" s="5"/>
      <c r="BD342" s="5"/>
      <c r="BE342" s="5"/>
      <c r="BF342" s="5"/>
      <c r="BG342" s="5"/>
      <c r="BH342" s="5"/>
    </row>
    <row r="343" spans="1:60" s="2" customFormat="1">
      <c r="A343" s="70">
        <v>315</v>
      </c>
      <c r="C343" s="2" t="e">
        <f t="shared" si="171"/>
        <v>#N/A</v>
      </c>
      <c r="D343" s="2" t="e">
        <f t="shared" si="172"/>
        <v>#N/A</v>
      </c>
      <c r="F343" s="2" t="e">
        <f t="shared" si="173"/>
        <v>#N/A</v>
      </c>
      <c r="G343" s="2" t="e">
        <f t="shared" si="174"/>
        <v>#N/A</v>
      </c>
      <c r="I343" s="2" t="e">
        <f>IF(AND(AI$3,#REF!&gt;0),(K$17+1)*COS($A343*PI()/180)+#REF!,NA())</f>
        <v>#REF!</v>
      </c>
      <c r="J343" s="2" t="e">
        <f>IF(AND(AI$3,#REF!&gt;0),(K$17+1)*SIN($A343*PI()/180)+K$9,NA())</f>
        <v>#REF!</v>
      </c>
      <c r="L343" s="2" t="e">
        <f t="shared" si="175"/>
        <v>#N/A</v>
      </c>
      <c r="M343" s="2" t="e">
        <f t="shared" si="176"/>
        <v>#N/A</v>
      </c>
      <c r="O343" s="2" t="e">
        <f t="shared" si="177"/>
        <v>#N/A</v>
      </c>
      <c r="P343" s="2" t="e">
        <f t="shared" si="178"/>
        <v>#N/A</v>
      </c>
      <c r="R343" s="2" t="e">
        <f t="shared" si="179"/>
        <v>#N/A</v>
      </c>
      <c r="S343" s="2" t="e">
        <f t="shared" si="180"/>
        <v>#N/A</v>
      </c>
      <c r="U343" s="2" t="e">
        <f t="shared" si="181"/>
        <v>#N/A</v>
      </c>
      <c r="V343" s="2" t="e">
        <f t="shared" si="182"/>
        <v>#N/A</v>
      </c>
      <c r="X343" s="2" t="e">
        <f t="shared" si="183"/>
        <v>#N/A</v>
      </c>
      <c r="Y343" s="2" t="e">
        <f t="shared" si="184"/>
        <v>#N/A</v>
      </c>
      <c r="AA343" s="2" t="e">
        <f t="shared" si="185"/>
        <v>#N/A</v>
      </c>
      <c r="AB343" s="2" t="e">
        <f t="shared" si="186"/>
        <v>#N/A</v>
      </c>
      <c r="BB343" s="5"/>
      <c r="BC343" s="5"/>
      <c r="BD343" s="5"/>
      <c r="BE343" s="5"/>
      <c r="BF343" s="5"/>
      <c r="BG343" s="5"/>
      <c r="BH343" s="5"/>
    </row>
    <row r="344" spans="1:60" s="2" customFormat="1">
      <c r="A344" s="70">
        <v>330</v>
      </c>
      <c r="C344" s="2" t="e">
        <f t="shared" si="171"/>
        <v>#N/A</v>
      </c>
      <c r="D344" s="2" t="e">
        <f t="shared" si="172"/>
        <v>#N/A</v>
      </c>
      <c r="F344" s="2" t="e">
        <f t="shared" si="173"/>
        <v>#N/A</v>
      </c>
      <c r="G344" s="2" t="e">
        <f t="shared" si="174"/>
        <v>#N/A</v>
      </c>
      <c r="I344" s="2" t="e">
        <f>IF(AND(AI$3,#REF!&gt;0),(K$17+1)*COS($A344*PI()/180)+#REF!,NA())</f>
        <v>#REF!</v>
      </c>
      <c r="J344" s="2" t="e">
        <f>IF(AND(AI$3,#REF!&gt;0),(K$17+1)*SIN($A344*PI()/180)+K$9,NA())</f>
        <v>#REF!</v>
      </c>
      <c r="L344" s="2" t="e">
        <f t="shared" si="175"/>
        <v>#N/A</v>
      </c>
      <c r="M344" s="2" t="e">
        <f t="shared" si="176"/>
        <v>#N/A</v>
      </c>
      <c r="O344" s="2" t="e">
        <f t="shared" si="177"/>
        <v>#N/A</v>
      </c>
      <c r="P344" s="2" t="e">
        <f t="shared" si="178"/>
        <v>#N/A</v>
      </c>
      <c r="R344" s="2" t="e">
        <f t="shared" si="179"/>
        <v>#N/A</v>
      </c>
      <c r="S344" s="2" t="e">
        <f t="shared" si="180"/>
        <v>#N/A</v>
      </c>
      <c r="U344" s="2" t="e">
        <f t="shared" si="181"/>
        <v>#N/A</v>
      </c>
      <c r="V344" s="2" t="e">
        <f t="shared" si="182"/>
        <v>#N/A</v>
      </c>
      <c r="X344" s="2" t="e">
        <f t="shared" si="183"/>
        <v>#N/A</v>
      </c>
      <c r="Y344" s="2" t="e">
        <f t="shared" si="184"/>
        <v>#N/A</v>
      </c>
      <c r="AA344" s="2" t="e">
        <f t="shared" si="185"/>
        <v>#N/A</v>
      </c>
      <c r="AB344" s="2" t="e">
        <f t="shared" si="186"/>
        <v>#N/A</v>
      </c>
      <c r="BB344" s="5"/>
      <c r="BC344" s="5"/>
      <c r="BD344" s="5"/>
      <c r="BE344" s="5"/>
      <c r="BF344" s="5"/>
      <c r="BG344" s="5"/>
      <c r="BH344" s="5"/>
    </row>
    <row r="345" spans="1:60" s="2" customFormat="1">
      <c r="A345" s="70">
        <v>345</v>
      </c>
      <c r="C345" s="2" t="e">
        <f t="shared" si="171"/>
        <v>#N/A</v>
      </c>
      <c r="D345" s="2" t="e">
        <f t="shared" si="172"/>
        <v>#N/A</v>
      </c>
      <c r="F345" s="2" t="e">
        <f t="shared" si="173"/>
        <v>#N/A</v>
      </c>
      <c r="G345" s="2" t="e">
        <f t="shared" si="174"/>
        <v>#N/A</v>
      </c>
      <c r="I345" s="2" t="e">
        <f>IF(AND(AI$3,#REF!&gt;0),(K$17+1)*COS($A345*PI()/180)+#REF!,NA())</f>
        <v>#REF!</v>
      </c>
      <c r="J345" s="2" t="e">
        <f>IF(AND(AI$3,#REF!&gt;0),(K$17+1)*SIN($A345*PI()/180)+K$9,NA())</f>
        <v>#REF!</v>
      </c>
      <c r="L345" s="2" t="e">
        <f t="shared" si="175"/>
        <v>#N/A</v>
      </c>
      <c r="M345" s="2" t="e">
        <f t="shared" si="176"/>
        <v>#N/A</v>
      </c>
      <c r="O345" s="2" t="e">
        <f t="shared" si="177"/>
        <v>#N/A</v>
      </c>
      <c r="P345" s="2" t="e">
        <f t="shared" si="178"/>
        <v>#N/A</v>
      </c>
      <c r="R345" s="2" t="e">
        <f t="shared" si="179"/>
        <v>#N/A</v>
      </c>
      <c r="S345" s="2" t="e">
        <f t="shared" si="180"/>
        <v>#N/A</v>
      </c>
      <c r="U345" s="2" t="e">
        <f t="shared" si="181"/>
        <v>#N/A</v>
      </c>
      <c r="V345" s="2" t="e">
        <f t="shared" si="182"/>
        <v>#N/A</v>
      </c>
      <c r="X345" s="2" t="e">
        <f t="shared" si="183"/>
        <v>#N/A</v>
      </c>
      <c r="Y345" s="2" t="e">
        <f t="shared" si="184"/>
        <v>#N/A</v>
      </c>
      <c r="AA345" s="2" t="e">
        <f t="shared" si="185"/>
        <v>#N/A</v>
      </c>
      <c r="AB345" s="2" t="e">
        <f t="shared" si="186"/>
        <v>#N/A</v>
      </c>
      <c r="BB345" s="5"/>
      <c r="BC345" s="5"/>
      <c r="BD345" s="5"/>
      <c r="BE345" s="5"/>
      <c r="BF345" s="5"/>
      <c r="BG345" s="5"/>
      <c r="BH345" s="5"/>
    </row>
    <row r="346" spans="1:60" s="2" customFormat="1">
      <c r="A346" s="70">
        <v>360</v>
      </c>
      <c r="C346" s="2" t="e">
        <f t="shared" si="171"/>
        <v>#N/A</v>
      </c>
      <c r="D346" s="2" t="e">
        <f t="shared" si="172"/>
        <v>#N/A</v>
      </c>
      <c r="F346" s="2" t="e">
        <f t="shared" si="173"/>
        <v>#N/A</v>
      </c>
      <c r="G346" s="2" t="e">
        <f t="shared" si="174"/>
        <v>#N/A</v>
      </c>
      <c r="I346" s="2" t="e">
        <f>IF(AND(AI$3,#REF!&gt;0),(K$17+1)*COS($A346*PI()/180)+#REF!,NA())</f>
        <v>#REF!</v>
      </c>
      <c r="J346" s="2" t="e">
        <f>IF(AND(AI$3,#REF!&gt;0),(K$17+1)*SIN($A346*PI()/180)+K$9,NA())</f>
        <v>#REF!</v>
      </c>
      <c r="L346" s="2" t="e">
        <f t="shared" si="175"/>
        <v>#N/A</v>
      </c>
      <c r="M346" s="2" t="e">
        <f t="shared" si="176"/>
        <v>#N/A</v>
      </c>
      <c r="O346" s="2" t="e">
        <f t="shared" si="177"/>
        <v>#N/A</v>
      </c>
      <c r="P346" s="2" t="e">
        <f t="shared" si="178"/>
        <v>#N/A</v>
      </c>
      <c r="R346" s="2" t="e">
        <f t="shared" si="179"/>
        <v>#N/A</v>
      </c>
      <c r="S346" s="2" t="e">
        <f t="shared" si="180"/>
        <v>#N/A</v>
      </c>
      <c r="U346" s="2" t="e">
        <f t="shared" si="181"/>
        <v>#N/A</v>
      </c>
      <c r="V346" s="2" t="e">
        <f t="shared" si="182"/>
        <v>#N/A</v>
      </c>
      <c r="X346" s="2" t="e">
        <f t="shared" si="183"/>
        <v>#N/A</v>
      </c>
      <c r="Y346" s="2" t="e">
        <f t="shared" si="184"/>
        <v>#N/A</v>
      </c>
      <c r="AA346" s="2" t="e">
        <f t="shared" si="185"/>
        <v>#N/A</v>
      </c>
      <c r="AB346" s="2" t="e">
        <f t="shared" si="186"/>
        <v>#N/A</v>
      </c>
      <c r="BB346" s="5"/>
      <c r="BC346" s="5"/>
      <c r="BD346" s="5"/>
      <c r="BE346" s="5"/>
      <c r="BF346" s="5"/>
      <c r="BG346" s="5"/>
      <c r="BH346" s="5"/>
    </row>
    <row r="347" spans="1:60" s="2" customFormat="1">
      <c r="A347" s="70"/>
      <c r="BB347" s="5"/>
      <c r="BC347" s="5"/>
      <c r="BD347" s="5"/>
      <c r="BE347" s="5"/>
      <c r="BF347" s="5"/>
      <c r="BG347" s="5"/>
      <c r="BH347" s="5"/>
    </row>
    <row r="348" spans="1:60" s="2" customFormat="1">
      <c r="A348" s="70">
        <v>0</v>
      </c>
      <c r="C348" s="2" t="e">
        <f t="shared" ref="C348:C372" si="187">IF(AND(AG$3,C$562&gt;0),(E$17+1)*COS($A348*PI()/180)+C$562,NA())</f>
        <v>#N/A</v>
      </c>
      <c r="D348" s="2" t="e">
        <f t="shared" ref="D348:D372" si="188">IF(AND(AG$3,C$562&gt;0),(E$17+1)*SIN($A348*PI()/180)+E$10,NA())</f>
        <v>#N/A</v>
      </c>
      <c r="F348" s="2" t="e">
        <f t="shared" ref="F348:F372" si="189">IF(AND(AH$3,F$562&gt;0),(H$17+1)*COS($A348*PI()/180)+F$562,NA())</f>
        <v>#N/A</v>
      </c>
      <c r="G348" s="2" t="e">
        <f t="shared" ref="G348:G372" si="190">IF(AND(AH$3,F$562&gt;0),(H$17+1)*SIN($A348*PI()/180)+H$10,NA())</f>
        <v>#N/A</v>
      </c>
      <c r="I348" s="2" t="e">
        <f t="shared" ref="I348:I372" si="191">IF(AND(AI$3,I$562&gt;0),(K$17+1)*COS($A348*PI()/180)+I$562,NA())</f>
        <v>#N/A</v>
      </c>
      <c r="J348" s="2" t="e">
        <f t="shared" ref="J348:J372" si="192">IF(AND(AI$3,I$562&gt;0),(K$17+1)*SIN($A348*PI()/180)+K$10,NA())</f>
        <v>#N/A</v>
      </c>
      <c r="L348" s="2" t="e">
        <f t="shared" ref="L348:L372" si="193">IF(AND(AJ$3,L$562&gt;0),(N$17+1)*COS($A348*PI()/180)+L$562,NA())</f>
        <v>#N/A</v>
      </c>
      <c r="M348" s="2" t="e">
        <f t="shared" ref="M348:M372" si="194">IF(AND(AJ$3,L$562&gt;0),(N$17+1)*SIN($A348*PI()/180)+N$10,NA())</f>
        <v>#N/A</v>
      </c>
      <c r="O348" s="2" t="e">
        <f t="shared" ref="O348:O372" si="195">IF(AND(AK$3,O$562&gt;0),(Q$17+1)*COS($A348*PI()/180)+O$562,NA())</f>
        <v>#N/A</v>
      </c>
      <c r="P348" s="2" t="e">
        <f t="shared" ref="P348:P372" si="196">IF(AND(AK$3,O$562&gt;0),(Q$17+1)*SIN($A348*PI()/180)+Q$10,NA())</f>
        <v>#N/A</v>
      </c>
      <c r="R348" s="2" t="e">
        <f t="shared" ref="R348:R372" si="197">IF(AND(AL$3,R$562&gt;0),(T$17+1)*COS($A348*PI()/180)+R$562,NA())</f>
        <v>#N/A</v>
      </c>
      <c r="S348" s="2" t="e">
        <f t="shared" ref="S348:S372" si="198">IF(AND(AL$3,R$562&gt;0),(T$17+1)*SIN($A348*PI()/180)+T$10,NA())</f>
        <v>#N/A</v>
      </c>
      <c r="U348" s="2" t="e">
        <f t="shared" ref="U348:U372" si="199">IF(AND(AM$3,U$562&gt;0),(W$17+1)*COS($A348*PI()/180)+U$562,NA())</f>
        <v>#N/A</v>
      </c>
      <c r="V348" s="2" t="e">
        <f t="shared" ref="V348:V372" si="200">IF(AND(AM$3,U$562&gt;0),(W$17+1)*SIN($A348*PI()/180)+W$10,NA())</f>
        <v>#N/A</v>
      </c>
      <c r="X348" s="2" t="e">
        <f t="shared" ref="X348:X372" si="201">IF(AND(AN$3,X$562&gt;0),(Z$17+1)*COS($A348*PI()/180)+X$562,NA())</f>
        <v>#N/A</v>
      </c>
      <c r="Y348" s="2" t="e">
        <f t="shared" ref="Y348:Y372" si="202">IF(AND(AN$3,X$562&gt;0),(Z$17+1)*SIN($A348*PI()/180)+Z$10,NA())</f>
        <v>#N/A</v>
      </c>
      <c r="AA348" s="2" t="e">
        <f t="shared" ref="AA348:AA372" si="203">IF(AND(AO$3,AA$562&gt;0),(AC$17+1)*COS($A348*PI()/180)+AA$562,NA())</f>
        <v>#N/A</v>
      </c>
      <c r="AB348" s="2" t="e">
        <f t="shared" ref="AB348:AB372" si="204">IF(AND(AO$3,AA$562&gt;0),(AC$17+1)*SIN($A348*PI()/180)+AC$10,NA())</f>
        <v>#N/A</v>
      </c>
      <c r="BB348" s="5"/>
      <c r="BC348" s="5"/>
      <c r="BD348" s="5"/>
      <c r="BE348" s="5"/>
      <c r="BF348" s="5"/>
      <c r="BG348" s="5"/>
      <c r="BH348" s="5"/>
    </row>
    <row r="349" spans="1:60" s="2" customFormat="1">
      <c r="A349" s="70">
        <v>15</v>
      </c>
      <c r="C349" s="2" t="e">
        <f t="shared" si="187"/>
        <v>#N/A</v>
      </c>
      <c r="D349" s="2" t="e">
        <f t="shared" si="188"/>
        <v>#N/A</v>
      </c>
      <c r="F349" s="2" t="e">
        <f t="shared" si="189"/>
        <v>#N/A</v>
      </c>
      <c r="G349" s="2" t="e">
        <f t="shared" si="190"/>
        <v>#N/A</v>
      </c>
      <c r="I349" s="2" t="e">
        <f t="shared" si="191"/>
        <v>#N/A</v>
      </c>
      <c r="J349" s="2" t="e">
        <f t="shared" si="192"/>
        <v>#N/A</v>
      </c>
      <c r="L349" s="2" t="e">
        <f t="shared" si="193"/>
        <v>#N/A</v>
      </c>
      <c r="M349" s="2" t="e">
        <f t="shared" si="194"/>
        <v>#N/A</v>
      </c>
      <c r="O349" s="2" t="e">
        <f t="shared" si="195"/>
        <v>#N/A</v>
      </c>
      <c r="P349" s="2" t="e">
        <f t="shared" si="196"/>
        <v>#N/A</v>
      </c>
      <c r="R349" s="2" t="e">
        <f t="shared" si="197"/>
        <v>#N/A</v>
      </c>
      <c r="S349" s="2" t="e">
        <f t="shared" si="198"/>
        <v>#N/A</v>
      </c>
      <c r="U349" s="2" t="e">
        <f t="shared" si="199"/>
        <v>#N/A</v>
      </c>
      <c r="V349" s="2" t="e">
        <f t="shared" si="200"/>
        <v>#N/A</v>
      </c>
      <c r="X349" s="2" t="e">
        <f t="shared" si="201"/>
        <v>#N/A</v>
      </c>
      <c r="Y349" s="2" t="e">
        <f t="shared" si="202"/>
        <v>#N/A</v>
      </c>
      <c r="AA349" s="2" t="e">
        <f t="shared" si="203"/>
        <v>#N/A</v>
      </c>
      <c r="AB349" s="2" t="e">
        <f t="shared" si="204"/>
        <v>#N/A</v>
      </c>
      <c r="BB349" s="5"/>
      <c r="BC349" s="5"/>
      <c r="BD349" s="5"/>
      <c r="BE349" s="5"/>
      <c r="BF349" s="5"/>
      <c r="BG349" s="5"/>
      <c r="BH349" s="5"/>
    </row>
    <row r="350" spans="1:60" s="2" customFormat="1">
      <c r="A350" s="70">
        <v>30</v>
      </c>
      <c r="C350" s="2" t="e">
        <f t="shared" si="187"/>
        <v>#N/A</v>
      </c>
      <c r="D350" s="2" t="e">
        <f t="shared" si="188"/>
        <v>#N/A</v>
      </c>
      <c r="F350" s="2" t="e">
        <f t="shared" si="189"/>
        <v>#N/A</v>
      </c>
      <c r="G350" s="2" t="e">
        <f t="shared" si="190"/>
        <v>#N/A</v>
      </c>
      <c r="I350" s="2" t="e">
        <f t="shared" si="191"/>
        <v>#N/A</v>
      </c>
      <c r="J350" s="2" t="e">
        <f t="shared" si="192"/>
        <v>#N/A</v>
      </c>
      <c r="L350" s="2" t="e">
        <f t="shared" si="193"/>
        <v>#N/A</v>
      </c>
      <c r="M350" s="2" t="e">
        <f t="shared" si="194"/>
        <v>#N/A</v>
      </c>
      <c r="O350" s="2" t="e">
        <f t="shared" si="195"/>
        <v>#N/A</v>
      </c>
      <c r="P350" s="2" t="e">
        <f t="shared" si="196"/>
        <v>#N/A</v>
      </c>
      <c r="R350" s="2" t="e">
        <f t="shared" si="197"/>
        <v>#N/A</v>
      </c>
      <c r="S350" s="2" t="e">
        <f t="shared" si="198"/>
        <v>#N/A</v>
      </c>
      <c r="U350" s="2" t="e">
        <f t="shared" si="199"/>
        <v>#N/A</v>
      </c>
      <c r="V350" s="2" t="e">
        <f t="shared" si="200"/>
        <v>#N/A</v>
      </c>
      <c r="X350" s="2" t="e">
        <f t="shared" si="201"/>
        <v>#N/A</v>
      </c>
      <c r="Y350" s="2" t="e">
        <f t="shared" si="202"/>
        <v>#N/A</v>
      </c>
      <c r="AA350" s="2" t="e">
        <f t="shared" si="203"/>
        <v>#N/A</v>
      </c>
      <c r="AB350" s="2" t="e">
        <f t="shared" si="204"/>
        <v>#N/A</v>
      </c>
      <c r="BB350" s="5"/>
      <c r="BC350" s="5"/>
      <c r="BD350" s="5"/>
      <c r="BE350" s="5"/>
      <c r="BF350" s="5"/>
      <c r="BG350" s="5"/>
      <c r="BH350" s="5"/>
    </row>
    <row r="351" spans="1:60" s="2" customFormat="1">
      <c r="A351" s="70">
        <v>45</v>
      </c>
      <c r="C351" s="2" t="e">
        <f t="shared" si="187"/>
        <v>#N/A</v>
      </c>
      <c r="D351" s="2" t="e">
        <f t="shared" si="188"/>
        <v>#N/A</v>
      </c>
      <c r="F351" s="2" t="e">
        <f t="shared" si="189"/>
        <v>#N/A</v>
      </c>
      <c r="G351" s="2" t="e">
        <f t="shared" si="190"/>
        <v>#N/A</v>
      </c>
      <c r="I351" s="2" t="e">
        <f t="shared" si="191"/>
        <v>#N/A</v>
      </c>
      <c r="J351" s="2" t="e">
        <f t="shared" si="192"/>
        <v>#N/A</v>
      </c>
      <c r="L351" s="2" t="e">
        <f t="shared" si="193"/>
        <v>#N/A</v>
      </c>
      <c r="M351" s="2" t="e">
        <f t="shared" si="194"/>
        <v>#N/A</v>
      </c>
      <c r="O351" s="2" t="e">
        <f t="shared" si="195"/>
        <v>#N/A</v>
      </c>
      <c r="P351" s="2" t="e">
        <f t="shared" si="196"/>
        <v>#N/A</v>
      </c>
      <c r="R351" s="2" t="e">
        <f t="shared" si="197"/>
        <v>#N/A</v>
      </c>
      <c r="S351" s="2" t="e">
        <f t="shared" si="198"/>
        <v>#N/A</v>
      </c>
      <c r="U351" s="2" t="e">
        <f t="shared" si="199"/>
        <v>#N/A</v>
      </c>
      <c r="V351" s="2" t="e">
        <f t="shared" si="200"/>
        <v>#N/A</v>
      </c>
      <c r="X351" s="2" t="e">
        <f t="shared" si="201"/>
        <v>#N/A</v>
      </c>
      <c r="Y351" s="2" t="e">
        <f t="shared" si="202"/>
        <v>#N/A</v>
      </c>
      <c r="AA351" s="2" t="e">
        <f t="shared" si="203"/>
        <v>#N/A</v>
      </c>
      <c r="AB351" s="2" t="e">
        <f t="shared" si="204"/>
        <v>#N/A</v>
      </c>
      <c r="BB351" s="5"/>
      <c r="BC351" s="5"/>
      <c r="BD351" s="5"/>
      <c r="BE351" s="5"/>
      <c r="BF351" s="5"/>
      <c r="BG351" s="5"/>
      <c r="BH351" s="5"/>
    </row>
    <row r="352" spans="1:60" s="2" customFormat="1">
      <c r="A352" s="70">
        <v>60</v>
      </c>
      <c r="C352" s="2" t="e">
        <f t="shared" si="187"/>
        <v>#N/A</v>
      </c>
      <c r="D352" s="2" t="e">
        <f t="shared" si="188"/>
        <v>#N/A</v>
      </c>
      <c r="F352" s="2" t="e">
        <f t="shared" si="189"/>
        <v>#N/A</v>
      </c>
      <c r="G352" s="2" t="e">
        <f t="shared" si="190"/>
        <v>#N/A</v>
      </c>
      <c r="I352" s="2" t="e">
        <f t="shared" si="191"/>
        <v>#N/A</v>
      </c>
      <c r="J352" s="2" t="e">
        <f t="shared" si="192"/>
        <v>#N/A</v>
      </c>
      <c r="L352" s="2" t="e">
        <f t="shared" si="193"/>
        <v>#N/A</v>
      </c>
      <c r="M352" s="2" t="e">
        <f t="shared" si="194"/>
        <v>#N/A</v>
      </c>
      <c r="O352" s="2" t="e">
        <f t="shared" si="195"/>
        <v>#N/A</v>
      </c>
      <c r="P352" s="2" t="e">
        <f t="shared" si="196"/>
        <v>#N/A</v>
      </c>
      <c r="R352" s="2" t="e">
        <f t="shared" si="197"/>
        <v>#N/A</v>
      </c>
      <c r="S352" s="2" t="e">
        <f t="shared" si="198"/>
        <v>#N/A</v>
      </c>
      <c r="U352" s="2" t="e">
        <f t="shared" si="199"/>
        <v>#N/A</v>
      </c>
      <c r="V352" s="2" t="e">
        <f t="shared" si="200"/>
        <v>#N/A</v>
      </c>
      <c r="X352" s="2" t="e">
        <f t="shared" si="201"/>
        <v>#N/A</v>
      </c>
      <c r="Y352" s="2" t="e">
        <f t="shared" si="202"/>
        <v>#N/A</v>
      </c>
      <c r="AA352" s="2" t="e">
        <f t="shared" si="203"/>
        <v>#N/A</v>
      </c>
      <c r="AB352" s="2" t="e">
        <f t="shared" si="204"/>
        <v>#N/A</v>
      </c>
      <c r="BB352" s="5"/>
      <c r="BC352" s="5"/>
      <c r="BD352" s="5"/>
      <c r="BE352" s="5"/>
      <c r="BF352" s="5"/>
      <c r="BG352" s="5"/>
      <c r="BH352" s="5"/>
    </row>
    <row r="353" spans="1:60" s="2" customFormat="1">
      <c r="A353" s="70">
        <v>75</v>
      </c>
      <c r="C353" s="2" t="e">
        <f t="shared" si="187"/>
        <v>#N/A</v>
      </c>
      <c r="D353" s="2" t="e">
        <f t="shared" si="188"/>
        <v>#N/A</v>
      </c>
      <c r="F353" s="2" t="e">
        <f t="shared" si="189"/>
        <v>#N/A</v>
      </c>
      <c r="G353" s="2" t="e">
        <f t="shared" si="190"/>
        <v>#N/A</v>
      </c>
      <c r="I353" s="2" t="e">
        <f t="shared" si="191"/>
        <v>#N/A</v>
      </c>
      <c r="J353" s="2" t="e">
        <f t="shared" si="192"/>
        <v>#N/A</v>
      </c>
      <c r="L353" s="2" t="e">
        <f t="shared" si="193"/>
        <v>#N/A</v>
      </c>
      <c r="M353" s="2" t="e">
        <f t="shared" si="194"/>
        <v>#N/A</v>
      </c>
      <c r="O353" s="2" t="e">
        <f t="shared" si="195"/>
        <v>#N/A</v>
      </c>
      <c r="P353" s="2" t="e">
        <f t="shared" si="196"/>
        <v>#N/A</v>
      </c>
      <c r="R353" s="2" t="e">
        <f t="shared" si="197"/>
        <v>#N/A</v>
      </c>
      <c r="S353" s="2" t="e">
        <f t="shared" si="198"/>
        <v>#N/A</v>
      </c>
      <c r="U353" s="2" t="e">
        <f t="shared" si="199"/>
        <v>#N/A</v>
      </c>
      <c r="V353" s="2" t="e">
        <f t="shared" si="200"/>
        <v>#N/A</v>
      </c>
      <c r="X353" s="2" t="e">
        <f t="shared" si="201"/>
        <v>#N/A</v>
      </c>
      <c r="Y353" s="2" t="e">
        <f t="shared" si="202"/>
        <v>#N/A</v>
      </c>
      <c r="AA353" s="2" t="e">
        <f t="shared" si="203"/>
        <v>#N/A</v>
      </c>
      <c r="AB353" s="2" t="e">
        <f t="shared" si="204"/>
        <v>#N/A</v>
      </c>
      <c r="BB353" s="5"/>
      <c r="BC353" s="5"/>
      <c r="BD353" s="5"/>
      <c r="BE353" s="5"/>
      <c r="BF353" s="5"/>
      <c r="BG353" s="5"/>
      <c r="BH353" s="5"/>
    </row>
    <row r="354" spans="1:60" s="2" customFormat="1">
      <c r="A354" s="70">
        <v>90</v>
      </c>
      <c r="C354" s="2" t="e">
        <f t="shared" si="187"/>
        <v>#N/A</v>
      </c>
      <c r="D354" s="2" t="e">
        <f t="shared" si="188"/>
        <v>#N/A</v>
      </c>
      <c r="F354" s="2" t="e">
        <f t="shared" si="189"/>
        <v>#N/A</v>
      </c>
      <c r="G354" s="2" t="e">
        <f t="shared" si="190"/>
        <v>#N/A</v>
      </c>
      <c r="I354" s="2" t="e">
        <f t="shared" si="191"/>
        <v>#N/A</v>
      </c>
      <c r="J354" s="2" t="e">
        <f t="shared" si="192"/>
        <v>#N/A</v>
      </c>
      <c r="L354" s="2" t="e">
        <f t="shared" si="193"/>
        <v>#N/A</v>
      </c>
      <c r="M354" s="2" t="e">
        <f t="shared" si="194"/>
        <v>#N/A</v>
      </c>
      <c r="O354" s="2" t="e">
        <f t="shared" si="195"/>
        <v>#N/A</v>
      </c>
      <c r="P354" s="2" t="e">
        <f t="shared" si="196"/>
        <v>#N/A</v>
      </c>
      <c r="R354" s="2" t="e">
        <f t="shared" si="197"/>
        <v>#N/A</v>
      </c>
      <c r="S354" s="2" t="e">
        <f t="shared" si="198"/>
        <v>#N/A</v>
      </c>
      <c r="U354" s="2" t="e">
        <f t="shared" si="199"/>
        <v>#N/A</v>
      </c>
      <c r="V354" s="2" t="e">
        <f t="shared" si="200"/>
        <v>#N/A</v>
      </c>
      <c r="X354" s="2" t="e">
        <f t="shared" si="201"/>
        <v>#N/A</v>
      </c>
      <c r="Y354" s="2" t="e">
        <f t="shared" si="202"/>
        <v>#N/A</v>
      </c>
      <c r="AA354" s="2" t="e">
        <f t="shared" si="203"/>
        <v>#N/A</v>
      </c>
      <c r="AB354" s="2" t="e">
        <f t="shared" si="204"/>
        <v>#N/A</v>
      </c>
      <c r="BB354" s="5"/>
      <c r="BC354" s="5"/>
      <c r="BD354" s="5"/>
      <c r="BE354" s="5"/>
      <c r="BF354" s="5"/>
      <c r="BG354" s="5"/>
      <c r="BH354" s="5"/>
    </row>
    <row r="355" spans="1:60" s="2" customFormat="1">
      <c r="A355" s="70">
        <v>105</v>
      </c>
      <c r="C355" s="2" t="e">
        <f t="shared" si="187"/>
        <v>#N/A</v>
      </c>
      <c r="D355" s="2" t="e">
        <f t="shared" si="188"/>
        <v>#N/A</v>
      </c>
      <c r="F355" s="2" t="e">
        <f t="shared" si="189"/>
        <v>#N/A</v>
      </c>
      <c r="G355" s="2" t="e">
        <f t="shared" si="190"/>
        <v>#N/A</v>
      </c>
      <c r="I355" s="2" t="e">
        <f t="shared" si="191"/>
        <v>#N/A</v>
      </c>
      <c r="J355" s="2" t="e">
        <f t="shared" si="192"/>
        <v>#N/A</v>
      </c>
      <c r="L355" s="2" t="e">
        <f t="shared" si="193"/>
        <v>#N/A</v>
      </c>
      <c r="M355" s="2" t="e">
        <f t="shared" si="194"/>
        <v>#N/A</v>
      </c>
      <c r="O355" s="2" t="e">
        <f t="shared" si="195"/>
        <v>#N/A</v>
      </c>
      <c r="P355" s="2" t="e">
        <f t="shared" si="196"/>
        <v>#N/A</v>
      </c>
      <c r="R355" s="2" t="e">
        <f t="shared" si="197"/>
        <v>#N/A</v>
      </c>
      <c r="S355" s="2" t="e">
        <f t="shared" si="198"/>
        <v>#N/A</v>
      </c>
      <c r="U355" s="2" t="e">
        <f t="shared" si="199"/>
        <v>#N/A</v>
      </c>
      <c r="V355" s="2" t="e">
        <f t="shared" si="200"/>
        <v>#N/A</v>
      </c>
      <c r="X355" s="2" t="e">
        <f t="shared" si="201"/>
        <v>#N/A</v>
      </c>
      <c r="Y355" s="2" t="e">
        <f t="shared" si="202"/>
        <v>#N/A</v>
      </c>
      <c r="AA355" s="2" t="e">
        <f t="shared" si="203"/>
        <v>#N/A</v>
      </c>
      <c r="AB355" s="2" t="e">
        <f t="shared" si="204"/>
        <v>#N/A</v>
      </c>
      <c r="BB355" s="5"/>
      <c r="BC355" s="5"/>
      <c r="BD355" s="5"/>
      <c r="BE355" s="5"/>
      <c r="BF355" s="5"/>
      <c r="BG355" s="5"/>
      <c r="BH355" s="5"/>
    </row>
    <row r="356" spans="1:60" s="2" customFormat="1">
      <c r="A356" s="70">
        <v>120</v>
      </c>
      <c r="C356" s="2" t="e">
        <f t="shared" si="187"/>
        <v>#N/A</v>
      </c>
      <c r="D356" s="2" t="e">
        <f t="shared" si="188"/>
        <v>#N/A</v>
      </c>
      <c r="F356" s="2" t="e">
        <f t="shared" si="189"/>
        <v>#N/A</v>
      </c>
      <c r="G356" s="2" t="e">
        <f t="shared" si="190"/>
        <v>#N/A</v>
      </c>
      <c r="I356" s="2" t="e">
        <f t="shared" si="191"/>
        <v>#N/A</v>
      </c>
      <c r="J356" s="2" t="e">
        <f t="shared" si="192"/>
        <v>#N/A</v>
      </c>
      <c r="L356" s="2" t="e">
        <f t="shared" si="193"/>
        <v>#N/A</v>
      </c>
      <c r="M356" s="2" t="e">
        <f t="shared" si="194"/>
        <v>#N/A</v>
      </c>
      <c r="O356" s="2" t="e">
        <f t="shared" si="195"/>
        <v>#N/A</v>
      </c>
      <c r="P356" s="2" t="e">
        <f t="shared" si="196"/>
        <v>#N/A</v>
      </c>
      <c r="R356" s="2" t="e">
        <f t="shared" si="197"/>
        <v>#N/A</v>
      </c>
      <c r="S356" s="2" t="e">
        <f t="shared" si="198"/>
        <v>#N/A</v>
      </c>
      <c r="U356" s="2" t="e">
        <f t="shared" si="199"/>
        <v>#N/A</v>
      </c>
      <c r="V356" s="2" t="e">
        <f t="shared" si="200"/>
        <v>#N/A</v>
      </c>
      <c r="X356" s="2" t="e">
        <f t="shared" si="201"/>
        <v>#N/A</v>
      </c>
      <c r="Y356" s="2" t="e">
        <f t="shared" si="202"/>
        <v>#N/A</v>
      </c>
      <c r="AA356" s="2" t="e">
        <f t="shared" si="203"/>
        <v>#N/A</v>
      </c>
      <c r="AB356" s="2" t="e">
        <f t="shared" si="204"/>
        <v>#N/A</v>
      </c>
      <c r="BB356" s="5"/>
      <c r="BC356" s="5"/>
      <c r="BD356" s="5"/>
      <c r="BE356" s="5"/>
      <c r="BF356" s="5"/>
      <c r="BG356" s="5"/>
      <c r="BH356" s="5"/>
    </row>
    <row r="357" spans="1:60" s="2" customFormat="1">
      <c r="A357" s="70">
        <v>135</v>
      </c>
      <c r="C357" s="2" t="e">
        <f t="shared" si="187"/>
        <v>#N/A</v>
      </c>
      <c r="D357" s="2" t="e">
        <f t="shared" si="188"/>
        <v>#N/A</v>
      </c>
      <c r="F357" s="2" t="e">
        <f t="shared" si="189"/>
        <v>#N/A</v>
      </c>
      <c r="G357" s="2" t="e">
        <f t="shared" si="190"/>
        <v>#N/A</v>
      </c>
      <c r="I357" s="2" t="e">
        <f t="shared" si="191"/>
        <v>#N/A</v>
      </c>
      <c r="J357" s="2" t="e">
        <f t="shared" si="192"/>
        <v>#N/A</v>
      </c>
      <c r="L357" s="2" t="e">
        <f t="shared" si="193"/>
        <v>#N/A</v>
      </c>
      <c r="M357" s="2" t="e">
        <f t="shared" si="194"/>
        <v>#N/A</v>
      </c>
      <c r="O357" s="2" t="e">
        <f t="shared" si="195"/>
        <v>#N/A</v>
      </c>
      <c r="P357" s="2" t="e">
        <f t="shared" si="196"/>
        <v>#N/A</v>
      </c>
      <c r="R357" s="2" t="e">
        <f t="shared" si="197"/>
        <v>#N/A</v>
      </c>
      <c r="S357" s="2" t="e">
        <f t="shared" si="198"/>
        <v>#N/A</v>
      </c>
      <c r="U357" s="2" t="e">
        <f t="shared" si="199"/>
        <v>#N/A</v>
      </c>
      <c r="V357" s="2" t="e">
        <f t="shared" si="200"/>
        <v>#N/A</v>
      </c>
      <c r="X357" s="2" t="e">
        <f t="shared" si="201"/>
        <v>#N/A</v>
      </c>
      <c r="Y357" s="2" t="e">
        <f t="shared" si="202"/>
        <v>#N/A</v>
      </c>
      <c r="AA357" s="2" t="e">
        <f t="shared" si="203"/>
        <v>#N/A</v>
      </c>
      <c r="AB357" s="2" t="e">
        <f t="shared" si="204"/>
        <v>#N/A</v>
      </c>
      <c r="BB357" s="5"/>
      <c r="BC357" s="5"/>
      <c r="BD357" s="5"/>
      <c r="BE357" s="5"/>
      <c r="BF357" s="5"/>
      <c r="BG357" s="5"/>
      <c r="BH357" s="5"/>
    </row>
    <row r="358" spans="1:60" s="2" customFormat="1">
      <c r="A358" s="70">
        <v>150</v>
      </c>
      <c r="C358" s="2" t="e">
        <f t="shared" si="187"/>
        <v>#N/A</v>
      </c>
      <c r="D358" s="2" t="e">
        <f t="shared" si="188"/>
        <v>#N/A</v>
      </c>
      <c r="F358" s="2" t="e">
        <f t="shared" si="189"/>
        <v>#N/A</v>
      </c>
      <c r="G358" s="2" t="e">
        <f t="shared" si="190"/>
        <v>#N/A</v>
      </c>
      <c r="I358" s="2" t="e">
        <f t="shared" si="191"/>
        <v>#N/A</v>
      </c>
      <c r="J358" s="2" t="e">
        <f t="shared" si="192"/>
        <v>#N/A</v>
      </c>
      <c r="L358" s="2" t="e">
        <f t="shared" si="193"/>
        <v>#N/A</v>
      </c>
      <c r="M358" s="2" t="e">
        <f t="shared" si="194"/>
        <v>#N/A</v>
      </c>
      <c r="O358" s="2" t="e">
        <f t="shared" si="195"/>
        <v>#N/A</v>
      </c>
      <c r="P358" s="2" t="e">
        <f t="shared" si="196"/>
        <v>#N/A</v>
      </c>
      <c r="R358" s="2" t="e">
        <f t="shared" si="197"/>
        <v>#N/A</v>
      </c>
      <c r="S358" s="2" t="e">
        <f t="shared" si="198"/>
        <v>#N/A</v>
      </c>
      <c r="U358" s="2" t="e">
        <f t="shared" si="199"/>
        <v>#N/A</v>
      </c>
      <c r="V358" s="2" t="e">
        <f t="shared" si="200"/>
        <v>#N/A</v>
      </c>
      <c r="X358" s="2" t="e">
        <f t="shared" si="201"/>
        <v>#N/A</v>
      </c>
      <c r="Y358" s="2" t="e">
        <f t="shared" si="202"/>
        <v>#N/A</v>
      </c>
      <c r="AA358" s="2" t="e">
        <f t="shared" si="203"/>
        <v>#N/A</v>
      </c>
      <c r="AB358" s="2" t="e">
        <f t="shared" si="204"/>
        <v>#N/A</v>
      </c>
      <c r="BB358" s="5"/>
      <c r="BC358" s="5"/>
      <c r="BD358" s="5"/>
      <c r="BE358" s="5"/>
      <c r="BF358" s="5"/>
      <c r="BG358" s="5"/>
      <c r="BH358" s="5"/>
    </row>
    <row r="359" spans="1:60" s="2" customFormat="1">
      <c r="A359" s="70">
        <v>165</v>
      </c>
      <c r="C359" s="2" t="e">
        <f t="shared" si="187"/>
        <v>#N/A</v>
      </c>
      <c r="D359" s="2" t="e">
        <f t="shared" si="188"/>
        <v>#N/A</v>
      </c>
      <c r="F359" s="2" t="e">
        <f t="shared" si="189"/>
        <v>#N/A</v>
      </c>
      <c r="G359" s="2" t="e">
        <f t="shared" si="190"/>
        <v>#N/A</v>
      </c>
      <c r="I359" s="2" t="e">
        <f t="shared" si="191"/>
        <v>#N/A</v>
      </c>
      <c r="J359" s="2" t="e">
        <f t="shared" si="192"/>
        <v>#N/A</v>
      </c>
      <c r="L359" s="2" t="e">
        <f t="shared" si="193"/>
        <v>#N/A</v>
      </c>
      <c r="M359" s="2" t="e">
        <f t="shared" si="194"/>
        <v>#N/A</v>
      </c>
      <c r="O359" s="2" t="e">
        <f t="shared" si="195"/>
        <v>#N/A</v>
      </c>
      <c r="P359" s="2" t="e">
        <f t="shared" si="196"/>
        <v>#N/A</v>
      </c>
      <c r="R359" s="2" t="e">
        <f t="shared" si="197"/>
        <v>#N/A</v>
      </c>
      <c r="S359" s="2" t="e">
        <f t="shared" si="198"/>
        <v>#N/A</v>
      </c>
      <c r="U359" s="2" t="e">
        <f t="shared" si="199"/>
        <v>#N/A</v>
      </c>
      <c r="V359" s="2" t="e">
        <f t="shared" si="200"/>
        <v>#N/A</v>
      </c>
      <c r="X359" s="2" t="e">
        <f t="shared" si="201"/>
        <v>#N/A</v>
      </c>
      <c r="Y359" s="2" t="e">
        <f t="shared" si="202"/>
        <v>#N/A</v>
      </c>
      <c r="AA359" s="2" t="e">
        <f t="shared" si="203"/>
        <v>#N/A</v>
      </c>
      <c r="AB359" s="2" t="e">
        <f t="shared" si="204"/>
        <v>#N/A</v>
      </c>
      <c r="BB359" s="5"/>
      <c r="BC359" s="5"/>
      <c r="BD359" s="5"/>
      <c r="BE359" s="5"/>
      <c r="BF359" s="5"/>
      <c r="BG359" s="5"/>
      <c r="BH359" s="5"/>
    </row>
    <row r="360" spans="1:60" s="2" customFormat="1">
      <c r="A360" s="70">
        <v>180</v>
      </c>
      <c r="C360" s="2" t="e">
        <f t="shared" si="187"/>
        <v>#N/A</v>
      </c>
      <c r="D360" s="2" t="e">
        <f t="shared" si="188"/>
        <v>#N/A</v>
      </c>
      <c r="F360" s="2" t="e">
        <f t="shared" si="189"/>
        <v>#N/A</v>
      </c>
      <c r="G360" s="2" t="e">
        <f t="shared" si="190"/>
        <v>#N/A</v>
      </c>
      <c r="I360" s="2" t="e">
        <f t="shared" si="191"/>
        <v>#N/A</v>
      </c>
      <c r="J360" s="2" t="e">
        <f t="shared" si="192"/>
        <v>#N/A</v>
      </c>
      <c r="L360" s="2" t="e">
        <f t="shared" si="193"/>
        <v>#N/A</v>
      </c>
      <c r="M360" s="2" t="e">
        <f t="shared" si="194"/>
        <v>#N/A</v>
      </c>
      <c r="O360" s="2" t="e">
        <f t="shared" si="195"/>
        <v>#N/A</v>
      </c>
      <c r="P360" s="2" t="e">
        <f t="shared" si="196"/>
        <v>#N/A</v>
      </c>
      <c r="R360" s="2" t="e">
        <f t="shared" si="197"/>
        <v>#N/A</v>
      </c>
      <c r="S360" s="2" t="e">
        <f t="shared" si="198"/>
        <v>#N/A</v>
      </c>
      <c r="U360" s="2" t="e">
        <f t="shared" si="199"/>
        <v>#N/A</v>
      </c>
      <c r="V360" s="2" t="e">
        <f t="shared" si="200"/>
        <v>#N/A</v>
      </c>
      <c r="X360" s="2" t="e">
        <f t="shared" si="201"/>
        <v>#N/A</v>
      </c>
      <c r="Y360" s="2" t="e">
        <f t="shared" si="202"/>
        <v>#N/A</v>
      </c>
      <c r="AA360" s="2" t="e">
        <f t="shared" si="203"/>
        <v>#N/A</v>
      </c>
      <c r="AB360" s="2" t="e">
        <f t="shared" si="204"/>
        <v>#N/A</v>
      </c>
      <c r="BB360" s="5"/>
      <c r="BC360" s="5"/>
      <c r="BD360" s="5"/>
      <c r="BE360" s="5"/>
      <c r="BF360" s="5"/>
      <c r="BG360" s="5"/>
      <c r="BH360" s="5"/>
    </row>
    <row r="361" spans="1:60" s="2" customFormat="1">
      <c r="A361" s="70">
        <v>195</v>
      </c>
      <c r="C361" s="2" t="e">
        <f t="shared" si="187"/>
        <v>#N/A</v>
      </c>
      <c r="D361" s="2" t="e">
        <f t="shared" si="188"/>
        <v>#N/A</v>
      </c>
      <c r="F361" s="2" t="e">
        <f t="shared" si="189"/>
        <v>#N/A</v>
      </c>
      <c r="G361" s="2" t="e">
        <f t="shared" si="190"/>
        <v>#N/A</v>
      </c>
      <c r="I361" s="2" t="e">
        <f t="shared" si="191"/>
        <v>#N/A</v>
      </c>
      <c r="J361" s="2" t="e">
        <f t="shared" si="192"/>
        <v>#N/A</v>
      </c>
      <c r="L361" s="2" t="e">
        <f t="shared" si="193"/>
        <v>#N/A</v>
      </c>
      <c r="M361" s="2" t="e">
        <f t="shared" si="194"/>
        <v>#N/A</v>
      </c>
      <c r="O361" s="2" t="e">
        <f t="shared" si="195"/>
        <v>#N/A</v>
      </c>
      <c r="P361" s="2" t="e">
        <f t="shared" si="196"/>
        <v>#N/A</v>
      </c>
      <c r="R361" s="2" t="e">
        <f t="shared" si="197"/>
        <v>#N/A</v>
      </c>
      <c r="S361" s="2" t="e">
        <f t="shared" si="198"/>
        <v>#N/A</v>
      </c>
      <c r="U361" s="2" t="e">
        <f t="shared" si="199"/>
        <v>#N/A</v>
      </c>
      <c r="V361" s="2" t="e">
        <f t="shared" si="200"/>
        <v>#N/A</v>
      </c>
      <c r="X361" s="2" t="e">
        <f t="shared" si="201"/>
        <v>#N/A</v>
      </c>
      <c r="Y361" s="2" t="e">
        <f t="shared" si="202"/>
        <v>#N/A</v>
      </c>
      <c r="AA361" s="2" t="e">
        <f t="shared" si="203"/>
        <v>#N/A</v>
      </c>
      <c r="AB361" s="2" t="e">
        <f t="shared" si="204"/>
        <v>#N/A</v>
      </c>
      <c r="BB361" s="5"/>
      <c r="BC361" s="5"/>
      <c r="BD361" s="5"/>
      <c r="BE361" s="5"/>
      <c r="BF361" s="5"/>
      <c r="BG361" s="5"/>
      <c r="BH361" s="5"/>
    </row>
    <row r="362" spans="1:60" s="2" customFormat="1">
      <c r="A362" s="70">
        <v>210</v>
      </c>
      <c r="C362" s="2" t="e">
        <f t="shared" si="187"/>
        <v>#N/A</v>
      </c>
      <c r="D362" s="2" t="e">
        <f t="shared" si="188"/>
        <v>#N/A</v>
      </c>
      <c r="F362" s="2" t="e">
        <f t="shared" si="189"/>
        <v>#N/A</v>
      </c>
      <c r="G362" s="2" t="e">
        <f t="shared" si="190"/>
        <v>#N/A</v>
      </c>
      <c r="I362" s="2" t="e">
        <f t="shared" si="191"/>
        <v>#N/A</v>
      </c>
      <c r="J362" s="2" t="e">
        <f t="shared" si="192"/>
        <v>#N/A</v>
      </c>
      <c r="L362" s="2" t="e">
        <f t="shared" si="193"/>
        <v>#N/A</v>
      </c>
      <c r="M362" s="2" t="e">
        <f t="shared" si="194"/>
        <v>#N/A</v>
      </c>
      <c r="O362" s="2" t="e">
        <f t="shared" si="195"/>
        <v>#N/A</v>
      </c>
      <c r="P362" s="2" t="e">
        <f t="shared" si="196"/>
        <v>#N/A</v>
      </c>
      <c r="R362" s="2" t="e">
        <f t="shared" si="197"/>
        <v>#N/A</v>
      </c>
      <c r="S362" s="2" t="e">
        <f t="shared" si="198"/>
        <v>#N/A</v>
      </c>
      <c r="U362" s="2" t="e">
        <f t="shared" si="199"/>
        <v>#N/A</v>
      </c>
      <c r="V362" s="2" t="e">
        <f t="shared" si="200"/>
        <v>#N/A</v>
      </c>
      <c r="X362" s="2" t="e">
        <f t="shared" si="201"/>
        <v>#N/A</v>
      </c>
      <c r="Y362" s="2" t="e">
        <f t="shared" si="202"/>
        <v>#N/A</v>
      </c>
      <c r="AA362" s="2" t="e">
        <f t="shared" si="203"/>
        <v>#N/A</v>
      </c>
      <c r="AB362" s="2" t="e">
        <f t="shared" si="204"/>
        <v>#N/A</v>
      </c>
      <c r="BB362" s="5"/>
      <c r="BC362" s="5"/>
      <c r="BD362" s="5"/>
      <c r="BE362" s="5"/>
      <c r="BF362" s="5"/>
      <c r="BG362" s="5"/>
      <c r="BH362" s="5"/>
    </row>
    <row r="363" spans="1:60" s="2" customFormat="1">
      <c r="A363" s="70">
        <v>225</v>
      </c>
      <c r="C363" s="2" t="e">
        <f t="shared" si="187"/>
        <v>#N/A</v>
      </c>
      <c r="D363" s="2" t="e">
        <f t="shared" si="188"/>
        <v>#N/A</v>
      </c>
      <c r="F363" s="2" t="e">
        <f t="shared" si="189"/>
        <v>#N/A</v>
      </c>
      <c r="G363" s="2" t="e">
        <f t="shared" si="190"/>
        <v>#N/A</v>
      </c>
      <c r="I363" s="2" t="e">
        <f t="shared" si="191"/>
        <v>#N/A</v>
      </c>
      <c r="J363" s="2" t="e">
        <f t="shared" si="192"/>
        <v>#N/A</v>
      </c>
      <c r="L363" s="2" t="e">
        <f t="shared" si="193"/>
        <v>#N/A</v>
      </c>
      <c r="M363" s="2" t="e">
        <f t="shared" si="194"/>
        <v>#N/A</v>
      </c>
      <c r="O363" s="2" t="e">
        <f t="shared" si="195"/>
        <v>#N/A</v>
      </c>
      <c r="P363" s="2" t="e">
        <f t="shared" si="196"/>
        <v>#N/A</v>
      </c>
      <c r="R363" s="2" t="e">
        <f t="shared" si="197"/>
        <v>#N/A</v>
      </c>
      <c r="S363" s="2" t="e">
        <f t="shared" si="198"/>
        <v>#N/A</v>
      </c>
      <c r="U363" s="2" t="e">
        <f t="shared" si="199"/>
        <v>#N/A</v>
      </c>
      <c r="V363" s="2" t="e">
        <f t="shared" si="200"/>
        <v>#N/A</v>
      </c>
      <c r="X363" s="2" t="e">
        <f t="shared" si="201"/>
        <v>#N/A</v>
      </c>
      <c r="Y363" s="2" t="e">
        <f t="shared" si="202"/>
        <v>#N/A</v>
      </c>
      <c r="AA363" s="2" t="e">
        <f t="shared" si="203"/>
        <v>#N/A</v>
      </c>
      <c r="AB363" s="2" t="e">
        <f t="shared" si="204"/>
        <v>#N/A</v>
      </c>
      <c r="BB363" s="5"/>
      <c r="BC363" s="5"/>
      <c r="BD363" s="5"/>
      <c r="BE363" s="5"/>
      <c r="BF363" s="5"/>
      <c r="BG363" s="5"/>
      <c r="BH363" s="5"/>
    </row>
    <row r="364" spans="1:60" s="2" customFormat="1">
      <c r="A364" s="70">
        <v>240</v>
      </c>
      <c r="C364" s="2" t="e">
        <f t="shared" si="187"/>
        <v>#N/A</v>
      </c>
      <c r="D364" s="2" t="e">
        <f t="shared" si="188"/>
        <v>#N/A</v>
      </c>
      <c r="F364" s="2" t="e">
        <f t="shared" si="189"/>
        <v>#N/A</v>
      </c>
      <c r="G364" s="2" t="e">
        <f t="shared" si="190"/>
        <v>#N/A</v>
      </c>
      <c r="I364" s="2" t="e">
        <f t="shared" si="191"/>
        <v>#N/A</v>
      </c>
      <c r="J364" s="2" t="e">
        <f t="shared" si="192"/>
        <v>#N/A</v>
      </c>
      <c r="L364" s="2" t="e">
        <f t="shared" si="193"/>
        <v>#N/A</v>
      </c>
      <c r="M364" s="2" t="e">
        <f t="shared" si="194"/>
        <v>#N/A</v>
      </c>
      <c r="O364" s="2" t="e">
        <f t="shared" si="195"/>
        <v>#N/A</v>
      </c>
      <c r="P364" s="2" t="e">
        <f t="shared" si="196"/>
        <v>#N/A</v>
      </c>
      <c r="R364" s="2" t="e">
        <f t="shared" si="197"/>
        <v>#N/A</v>
      </c>
      <c r="S364" s="2" t="e">
        <f t="shared" si="198"/>
        <v>#N/A</v>
      </c>
      <c r="U364" s="2" t="e">
        <f t="shared" si="199"/>
        <v>#N/A</v>
      </c>
      <c r="V364" s="2" t="e">
        <f t="shared" si="200"/>
        <v>#N/A</v>
      </c>
      <c r="X364" s="2" t="e">
        <f t="shared" si="201"/>
        <v>#N/A</v>
      </c>
      <c r="Y364" s="2" t="e">
        <f t="shared" si="202"/>
        <v>#N/A</v>
      </c>
      <c r="AA364" s="2" t="e">
        <f t="shared" si="203"/>
        <v>#N/A</v>
      </c>
      <c r="AB364" s="2" t="e">
        <f t="shared" si="204"/>
        <v>#N/A</v>
      </c>
      <c r="BB364" s="5"/>
      <c r="BC364" s="5"/>
      <c r="BD364" s="5"/>
      <c r="BE364" s="5"/>
      <c r="BF364" s="5"/>
      <c r="BG364" s="5"/>
      <c r="BH364" s="5"/>
    </row>
    <row r="365" spans="1:60" s="2" customFormat="1">
      <c r="A365" s="70">
        <v>255</v>
      </c>
      <c r="C365" s="2" t="e">
        <f t="shared" si="187"/>
        <v>#N/A</v>
      </c>
      <c r="D365" s="2" t="e">
        <f t="shared" si="188"/>
        <v>#N/A</v>
      </c>
      <c r="F365" s="2" t="e">
        <f t="shared" si="189"/>
        <v>#N/A</v>
      </c>
      <c r="G365" s="2" t="e">
        <f t="shared" si="190"/>
        <v>#N/A</v>
      </c>
      <c r="I365" s="2" t="e">
        <f t="shared" si="191"/>
        <v>#N/A</v>
      </c>
      <c r="J365" s="2" t="e">
        <f t="shared" si="192"/>
        <v>#N/A</v>
      </c>
      <c r="L365" s="2" t="e">
        <f t="shared" si="193"/>
        <v>#N/A</v>
      </c>
      <c r="M365" s="2" t="e">
        <f t="shared" si="194"/>
        <v>#N/A</v>
      </c>
      <c r="O365" s="2" t="e">
        <f t="shared" si="195"/>
        <v>#N/A</v>
      </c>
      <c r="P365" s="2" t="e">
        <f t="shared" si="196"/>
        <v>#N/A</v>
      </c>
      <c r="R365" s="2" t="e">
        <f t="shared" si="197"/>
        <v>#N/A</v>
      </c>
      <c r="S365" s="2" t="e">
        <f t="shared" si="198"/>
        <v>#N/A</v>
      </c>
      <c r="U365" s="2" t="e">
        <f t="shared" si="199"/>
        <v>#N/A</v>
      </c>
      <c r="V365" s="2" t="e">
        <f t="shared" si="200"/>
        <v>#N/A</v>
      </c>
      <c r="X365" s="2" t="e">
        <f t="shared" si="201"/>
        <v>#N/A</v>
      </c>
      <c r="Y365" s="2" t="e">
        <f t="shared" si="202"/>
        <v>#N/A</v>
      </c>
      <c r="AA365" s="2" t="e">
        <f t="shared" si="203"/>
        <v>#N/A</v>
      </c>
      <c r="AB365" s="2" t="e">
        <f t="shared" si="204"/>
        <v>#N/A</v>
      </c>
      <c r="BB365" s="5"/>
      <c r="BC365" s="5"/>
      <c r="BD365" s="5"/>
      <c r="BE365" s="5"/>
      <c r="BF365" s="5"/>
      <c r="BG365" s="5"/>
      <c r="BH365" s="5"/>
    </row>
    <row r="366" spans="1:60" s="2" customFormat="1">
      <c r="A366" s="70">
        <v>270</v>
      </c>
      <c r="C366" s="2" t="e">
        <f t="shared" si="187"/>
        <v>#N/A</v>
      </c>
      <c r="D366" s="2" t="e">
        <f t="shared" si="188"/>
        <v>#N/A</v>
      </c>
      <c r="F366" s="2" t="e">
        <f t="shared" si="189"/>
        <v>#N/A</v>
      </c>
      <c r="G366" s="2" t="e">
        <f t="shared" si="190"/>
        <v>#N/A</v>
      </c>
      <c r="I366" s="2" t="e">
        <f t="shared" si="191"/>
        <v>#N/A</v>
      </c>
      <c r="J366" s="2" t="e">
        <f t="shared" si="192"/>
        <v>#N/A</v>
      </c>
      <c r="L366" s="2" t="e">
        <f t="shared" si="193"/>
        <v>#N/A</v>
      </c>
      <c r="M366" s="2" t="e">
        <f t="shared" si="194"/>
        <v>#N/A</v>
      </c>
      <c r="O366" s="2" t="e">
        <f t="shared" si="195"/>
        <v>#N/A</v>
      </c>
      <c r="P366" s="2" t="e">
        <f t="shared" si="196"/>
        <v>#N/A</v>
      </c>
      <c r="R366" s="2" t="e">
        <f t="shared" si="197"/>
        <v>#N/A</v>
      </c>
      <c r="S366" s="2" t="e">
        <f t="shared" si="198"/>
        <v>#N/A</v>
      </c>
      <c r="U366" s="2" t="e">
        <f t="shared" si="199"/>
        <v>#N/A</v>
      </c>
      <c r="V366" s="2" t="e">
        <f t="shared" si="200"/>
        <v>#N/A</v>
      </c>
      <c r="X366" s="2" t="e">
        <f t="shared" si="201"/>
        <v>#N/A</v>
      </c>
      <c r="Y366" s="2" t="e">
        <f t="shared" si="202"/>
        <v>#N/A</v>
      </c>
      <c r="AA366" s="2" t="e">
        <f t="shared" si="203"/>
        <v>#N/A</v>
      </c>
      <c r="AB366" s="2" t="e">
        <f t="shared" si="204"/>
        <v>#N/A</v>
      </c>
      <c r="BB366" s="5"/>
      <c r="BC366" s="5"/>
      <c r="BD366" s="5"/>
      <c r="BE366" s="5"/>
      <c r="BF366" s="5"/>
      <c r="BG366" s="5"/>
      <c r="BH366" s="5"/>
    </row>
    <row r="367" spans="1:60" s="2" customFormat="1">
      <c r="A367" s="70">
        <v>285</v>
      </c>
      <c r="C367" s="2" t="e">
        <f t="shared" si="187"/>
        <v>#N/A</v>
      </c>
      <c r="D367" s="2" t="e">
        <f t="shared" si="188"/>
        <v>#N/A</v>
      </c>
      <c r="F367" s="2" t="e">
        <f t="shared" si="189"/>
        <v>#N/A</v>
      </c>
      <c r="G367" s="2" t="e">
        <f t="shared" si="190"/>
        <v>#N/A</v>
      </c>
      <c r="I367" s="2" t="e">
        <f t="shared" si="191"/>
        <v>#N/A</v>
      </c>
      <c r="J367" s="2" t="e">
        <f t="shared" si="192"/>
        <v>#N/A</v>
      </c>
      <c r="L367" s="2" t="e">
        <f t="shared" si="193"/>
        <v>#N/A</v>
      </c>
      <c r="M367" s="2" t="e">
        <f t="shared" si="194"/>
        <v>#N/A</v>
      </c>
      <c r="O367" s="2" t="e">
        <f t="shared" si="195"/>
        <v>#N/A</v>
      </c>
      <c r="P367" s="2" t="e">
        <f t="shared" si="196"/>
        <v>#N/A</v>
      </c>
      <c r="R367" s="2" t="e">
        <f t="shared" si="197"/>
        <v>#N/A</v>
      </c>
      <c r="S367" s="2" t="e">
        <f t="shared" si="198"/>
        <v>#N/A</v>
      </c>
      <c r="U367" s="2" t="e">
        <f t="shared" si="199"/>
        <v>#N/A</v>
      </c>
      <c r="V367" s="2" t="e">
        <f t="shared" si="200"/>
        <v>#N/A</v>
      </c>
      <c r="X367" s="2" t="e">
        <f t="shared" si="201"/>
        <v>#N/A</v>
      </c>
      <c r="Y367" s="2" t="e">
        <f t="shared" si="202"/>
        <v>#N/A</v>
      </c>
      <c r="AA367" s="2" t="e">
        <f t="shared" si="203"/>
        <v>#N/A</v>
      </c>
      <c r="AB367" s="2" t="e">
        <f t="shared" si="204"/>
        <v>#N/A</v>
      </c>
      <c r="BB367" s="5"/>
      <c r="BC367" s="5"/>
      <c r="BD367" s="5"/>
      <c r="BE367" s="5"/>
      <c r="BF367" s="5"/>
      <c r="BG367" s="5"/>
      <c r="BH367" s="5"/>
    </row>
    <row r="368" spans="1:60" s="2" customFormat="1">
      <c r="A368" s="70">
        <v>300</v>
      </c>
      <c r="C368" s="2" t="e">
        <f t="shared" si="187"/>
        <v>#N/A</v>
      </c>
      <c r="D368" s="2" t="e">
        <f t="shared" si="188"/>
        <v>#N/A</v>
      </c>
      <c r="F368" s="2" t="e">
        <f t="shared" si="189"/>
        <v>#N/A</v>
      </c>
      <c r="G368" s="2" t="e">
        <f t="shared" si="190"/>
        <v>#N/A</v>
      </c>
      <c r="I368" s="2" t="e">
        <f t="shared" si="191"/>
        <v>#N/A</v>
      </c>
      <c r="J368" s="2" t="e">
        <f t="shared" si="192"/>
        <v>#N/A</v>
      </c>
      <c r="L368" s="2" t="e">
        <f t="shared" si="193"/>
        <v>#N/A</v>
      </c>
      <c r="M368" s="2" t="e">
        <f t="shared" si="194"/>
        <v>#N/A</v>
      </c>
      <c r="O368" s="2" t="e">
        <f t="shared" si="195"/>
        <v>#N/A</v>
      </c>
      <c r="P368" s="2" t="e">
        <f t="shared" si="196"/>
        <v>#N/A</v>
      </c>
      <c r="R368" s="2" t="e">
        <f t="shared" si="197"/>
        <v>#N/A</v>
      </c>
      <c r="S368" s="2" t="e">
        <f t="shared" si="198"/>
        <v>#N/A</v>
      </c>
      <c r="U368" s="2" t="e">
        <f t="shared" si="199"/>
        <v>#N/A</v>
      </c>
      <c r="V368" s="2" t="e">
        <f t="shared" si="200"/>
        <v>#N/A</v>
      </c>
      <c r="X368" s="2" t="e">
        <f t="shared" si="201"/>
        <v>#N/A</v>
      </c>
      <c r="Y368" s="2" t="e">
        <f t="shared" si="202"/>
        <v>#N/A</v>
      </c>
      <c r="AA368" s="2" t="e">
        <f t="shared" si="203"/>
        <v>#N/A</v>
      </c>
      <c r="AB368" s="2" t="e">
        <f t="shared" si="204"/>
        <v>#N/A</v>
      </c>
      <c r="BB368" s="5"/>
      <c r="BC368" s="5"/>
      <c r="BD368" s="5"/>
      <c r="BE368" s="5"/>
      <c r="BF368" s="5"/>
      <c r="BG368" s="5"/>
      <c r="BH368" s="5"/>
    </row>
    <row r="369" spans="1:60" s="2" customFormat="1">
      <c r="A369" s="70">
        <v>315</v>
      </c>
      <c r="C369" s="2" t="e">
        <f t="shared" si="187"/>
        <v>#N/A</v>
      </c>
      <c r="D369" s="2" t="e">
        <f t="shared" si="188"/>
        <v>#N/A</v>
      </c>
      <c r="F369" s="2" t="e">
        <f t="shared" si="189"/>
        <v>#N/A</v>
      </c>
      <c r="G369" s="2" t="e">
        <f t="shared" si="190"/>
        <v>#N/A</v>
      </c>
      <c r="I369" s="2" t="e">
        <f t="shared" si="191"/>
        <v>#N/A</v>
      </c>
      <c r="J369" s="2" t="e">
        <f t="shared" si="192"/>
        <v>#N/A</v>
      </c>
      <c r="L369" s="2" t="e">
        <f t="shared" si="193"/>
        <v>#N/A</v>
      </c>
      <c r="M369" s="2" t="e">
        <f t="shared" si="194"/>
        <v>#N/A</v>
      </c>
      <c r="O369" s="2" t="e">
        <f t="shared" si="195"/>
        <v>#N/A</v>
      </c>
      <c r="P369" s="2" t="e">
        <f t="shared" si="196"/>
        <v>#N/A</v>
      </c>
      <c r="R369" s="2" t="e">
        <f t="shared" si="197"/>
        <v>#N/A</v>
      </c>
      <c r="S369" s="2" t="e">
        <f t="shared" si="198"/>
        <v>#N/A</v>
      </c>
      <c r="U369" s="2" t="e">
        <f t="shared" si="199"/>
        <v>#N/A</v>
      </c>
      <c r="V369" s="2" t="e">
        <f t="shared" si="200"/>
        <v>#N/A</v>
      </c>
      <c r="X369" s="2" t="e">
        <f t="shared" si="201"/>
        <v>#N/A</v>
      </c>
      <c r="Y369" s="2" t="e">
        <f t="shared" si="202"/>
        <v>#N/A</v>
      </c>
      <c r="AA369" s="2" t="e">
        <f t="shared" si="203"/>
        <v>#N/A</v>
      </c>
      <c r="AB369" s="2" t="e">
        <f t="shared" si="204"/>
        <v>#N/A</v>
      </c>
      <c r="BB369" s="5"/>
      <c r="BC369" s="5"/>
      <c r="BD369" s="5"/>
      <c r="BE369" s="5"/>
      <c r="BF369" s="5"/>
      <c r="BG369" s="5"/>
      <c r="BH369" s="5"/>
    </row>
    <row r="370" spans="1:60" s="2" customFormat="1">
      <c r="A370" s="70">
        <v>330</v>
      </c>
      <c r="C370" s="2" t="e">
        <f t="shared" si="187"/>
        <v>#N/A</v>
      </c>
      <c r="D370" s="2" t="e">
        <f t="shared" si="188"/>
        <v>#N/A</v>
      </c>
      <c r="F370" s="2" t="e">
        <f t="shared" si="189"/>
        <v>#N/A</v>
      </c>
      <c r="G370" s="2" t="e">
        <f t="shared" si="190"/>
        <v>#N/A</v>
      </c>
      <c r="I370" s="2" t="e">
        <f t="shared" si="191"/>
        <v>#N/A</v>
      </c>
      <c r="J370" s="2" t="e">
        <f t="shared" si="192"/>
        <v>#N/A</v>
      </c>
      <c r="L370" s="2" t="e">
        <f t="shared" si="193"/>
        <v>#N/A</v>
      </c>
      <c r="M370" s="2" t="e">
        <f t="shared" si="194"/>
        <v>#N/A</v>
      </c>
      <c r="O370" s="2" t="e">
        <f t="shared" si="195"/>
        <v>#N/A</v>
      </c>
      <c r="P370" s="2" t="e">
        <f t="shared" si="196"/>
        <v>#N/A</v>
      </c>
      <c r="R370" s="2" t="e">
        <f t="shared" si="197"/>
        <v>#N/A</v>
      </c>
      <c r="S370" s="2" t="e">
        <f t="shared" si="198"/>
        <v>#N/A</v>
      </c>
      <c r="U370" s="2" t="e">
        <f t="shared" si="199"/>
        <v>#N/A</v>
      </c>
      <c r="V370" s="2" t="e">
        <f t="shared" si="200"/>
        <v>#N/A</v>
      </c>
      <c r="X370" s="2" t="e">
        <f t="shared" si="201"/>
        <v>#N/A</v>
      </c>
      <c r="Y370" s="2" t="e">
        <f t="shared" si="202"/>
        <v>#N/A</v>
      </c>
      <c r="AA370" s="2" t="e">
        <f t="shared" si="203"/>
        <v>#N/A</v>
      </c>
      <c r="AB370" s="2" t="e">
        <f t="shared" si="204"/>
        <v>#N/A</v>
      </c>
      <c r="BB370" s="5"/>
      <c r="BC370" s="5"/>
      <c r="BD370" s="5"/>
      <c r="BE370" s="5"/>
      <c r="BF370" s="5"/>
      <c r="BG370" s="5"/>
      <c r="BH370" s="5"/>
    </row>
    <row r="371" spans="1:60" s="2" customFormat="1">
      <c r="A371" s="70">
        <v>345</v>
      </c>
      <c r="C371" s="2" t="e">
        <f t="shared" si="187"/>
        <v>#N/A</v>
      </c>
      <c r="D371" s="2" t="e">
        <f t="shared" si="188"/>
        <v>#N/A</v>
      </c>
      <c r="F371" s="2" t="e">
        <f t="shared" si="189"/>
        <v>#N/A</v>
      </c>
      <c r="G371" s="2" t="e">
        <f t="shared" si="190"/>
        <v>#N/A</v>
      </c>
      <c r="I371" s="2" t="e">
        <f t="shared" si="191"/>
        <v>#N/A</v>
      </c>
      <c r="J371" s="2" t="e">
        <f t="shared" si="192"/>
        <v>#N/A</v>
      </c>
      <c r="L371" s="2" t="e">
        <f t="shared" si="193"/>
        <v>#N/A</v>
      </c>
      <c r="M371" s="2" t="e">
        <f t="shared" si="194"/>
        <v>#N/A</v>
      </c>
      <c r="O371" s="2" t="e">
        <f t="shared" si="195"/>
        <v>#N/A</v>
      </c>
      <c r="P371" s="2" t="e">
        <f t="shared" si="196"/>
        <v>#N/A</v>
      </c>
      <c r="R371" s="2" t="e">
        <f t="shared" si="197"/>
        <v>#N/A</v>
      </c>
      <c r="S371" s="2" t="e">
        <f t="shared" si="198"/>
        <v>#N/A</v>
      </c>
      <c r="U371" s="2" t="e">
        <f t="shared" si="199"/>
        <v>#N/A</v>
      </c>
      <c r="V371" s="2" t="e">
        <f t="shared" si="200"/>
        <v>#N/A</v>
      </c>
      <c r="X371" s="2" t="e">
        <f t="shared" si="201"/>
        <v>#N/A</v>
      </c>
      <c r="Y371" s="2" t="e">
        <f t="shared" si="202"/>
        <v>#N/A</v>
      </c>
      <c r="AA371" s="2" t="e">
        <f t="shared" si="203"/>
        <v>#N/A</v>
      </c>
      <c r="AB371" s="2" t="e">
        <f t="shared" si="204"/>
        <v>#N/A</v>
      </c>
      <c r="BB371" s="5"/>
      <c r="BC371" s="5"/>
      <c r="BD371" s="5"/>
      <c r="BE371" s="5"/>
      <c r="BF371" s="5"/>
      <c r="BG371" s="5"/>
      <c r="BH371" s="5"/>
    </row>
    <row r="372" spans="1:60" s="2" customFormat="1">
      <c r="A372" s="70">
        <v>360</v>
      </c>
      <c r="C372" s="2" t="e">
        <f t="shared" si="187"/>
        <v>#N/A</v>
      </c>
      <c r="D372" s="2" t="e">
        <f t="shared" si="188"/>
        <v>#N/A</v>
      </c>
      <c r="F372" s="2" t="e">
        <f t="shared" si="189"/>
        <v>#N/A</v>
      </c>
      <c r="G372" s="2" t="e">
        <f t="shared" si="190"/>
        <v>#N/A</v>
      </c>
      <c r="I372" s="2" t="e">
        <f t="shared" si="191"/>
        <v>#N/A</v>
      </c>
      <c r="J372" s="2" t="e">
        <f t="shared" si="192"/>
        <v>#N/A</v>
      </c>
      <c r="L372" s="2" t="e">
        <f t="shared" si="193"/>
        <v>#N/A</v>
      </c>
      <c r="M372" s="2" t="e">
        <f t="shared" si="194"/>
        <v>#N/A</v>
      </c>
      <c r="O372" s="2" t="e">
        <f t="shared" si="195"/>
        <v>#N/A</v>
      </c>
      <c r="P372" s="2" t="e">
        <f t="shared" si="196"/>
        <v>#N/A</v>
      </c>
      <c r="R372" s="2" t="e">
        <f t="shared" si="197"/>
        <v>#N/A</v>
      </c>
      <c r="S372" s="2" t="e">
        <f t="shared" si="198"/>
        <v>#N/A</v>
      </c>
      <c r="U372" s="2" t="e">
        <f t="shared" si="199"/>
        <v>#N/A</v>
      </c>
      <c r="V372" s="2" t="e">
        <f t="shared" si="200"/>
        <v>#N/A</v>
      </c>
      <c r="X372" s="2" t="e">
        <f t="shared" si="201"/>
        <v>#N/A</v>
      </c>
      <c r="Y372" s="2" t="e">
        <f t="shared" si="202"/>
        <v>#N/A</v>
      </c>
      <c r="AA372" s="2" t="e">
        <f t="shared" si="203"/>
        <v>#N/A</v>
      </c>
      <c r="AB372" s="2" t="e">
        <f t="shared" si="204"/>
        <v>#N/A</v>
      </c>
      <c r="BB372" s="5"/>
      <c r="BC372" s="5"/>
      <c r="BD372" s="5"/>
      <c r="BE372" s="5"/>
      <c r="BF372" s="5"/>
      <c r="BG372" s="5"/>
      <c r="BH372" s="5"/>
    </row>
    <row r="373" spans="1:60" s="2" customFormat="1">
      <c r="A373" s="70"/>
      <c r="BB373" s="5"/>
      <c r="BC373" s="5"/>
      <c r="BD373" s="5"/>
      <c r="BE373" s="5"/>
      <c r="BF373" s="5"/>
      <c r="BG373" s="5"/>
      <c r="BH373" s="5"/>
    </row>
    <row r="374" spans="1:60" s="2" customFormat="1">
      <c r="A374" s="70">
        <v>0</v>
      </c>
      <c r="B374" s="2">
        <v>3</v>
      </c>
      <c r="C374" s="2" t="e">
        <f t="shared" ref="C374:C398" si="205">IF(AND(AG$3,C$563&gt;0),(E$17+1)*COS($A374*PI()/180)+C$563,NA())</f>
        <v>#N/A</v>
      </c>
      <c r="D374" s="2" t="e">
        <f t="shared" ref="D374:D398" si="206">IF(AND(AG$3,C$563&gt;0),(E$17+1)*SIN($A374*PI()/180)+E$11,NA())</f>
        <v>#N/A</v>
      </c>
      <c r="F374" s="2" t="e">
        <f t="shared" ref="F374:F398" si="207">IF(AND(AH$3,F$563&gt;0),(H$17+1)*COS($A374*PI()/180)+F$563,NA())</f>
        <v>#N/A</v>
      </c>
      <c r="G374" s="2" t="e">
        <f t="shared" ref="G374:G398" si="208">IF(AND(AH$3,F$563&gt;0),(H$17+1)*SIN($A374*PI()/180)+H$11,NA())</f>
        <v>#N/A</v>
      </c>
      <c r="I374" s="2" t="e">
        <f t="shared" ref="I374:I398" si="209">IF(AND(AI$3,I$563&gt;0),(K$17+1)*COS($A374*PI()/180)+I$563,NA())</f>
        <v>#N/A</v>
      </c>
      <c r="J374" s="2" t="e">
        <f t="shared" ref="J374:J398" si="210">IF(AND(AI$3,I$563&gt;0),(K$17+1)*SIN($A374*PI()/180)+K$11,NA())</f>
        <v>#N/A</v>
      </c>
      <c r="L374" s="2" t="e">
        <f t="shared" ref="L374:L398" si="211">IF(AND(AJ$3,L$563&gt;0),(N$17+1)*COS($A374*PI()/180)+L$563,NA())</f>
        <v>#N/A</v>
      </c>
      <c r="M374" s="2" t="e">
        <f t="shared" ref="M374:M398" si="212">IF(AND(AJ$3,L$563&gt;0),(N$17+1)*SIN($A374*PI()/180)+N$11,NA())</f>
        <v>#N/A</v>
      </c>
      <c r="O374" s="2" t="e">
        <f t="shared" ref="O374:O398" si="213">IF(AND(AK$3,O$563&gt;0),(Q$17+1)*COS($A374*PI()/180)+O$563,NA())</f>
        <v>#N/A</v>
      </c>
      <c r="P374" s="2" t="e">
        <f t="shared" ref="P374:P398" si="214">IF(AND(AK$3,O$563&gt;0),(Q$17+1)*SIN($A374*PI()/180)+Q$11,NA())</f>
        <v>#N/A</v>
      </c>
      <c r="R374" s="2" t="e">
        <f t="shared" ref="R374:R398" si="215">IF(AND(AL$3,R$563&gt;0),(T$17+1)*COS($A374*PI()/180)+R$563,NA())</f>
        <v>#N/A</v>
      </c>
      <c r="S374" s="2" t="e">
        <f t="shared" ref="S374:S398" si="216">IF(AND(AL$3,R$563&gt;0),(T$17+1)*SIN($A374*PI()/180)+T$11,NA())</f>
        <v>#N/A</v>
      </c>
      <c r="U374" s="2" t="e">
        <f t="shared" ref="U374:U398" si="217">IF(AND(AM$3,U$563&gt;0),(W$17+1)*COS($A374*PI()/180)+U$563,NA())</f>
        <v>#N/A</v>
      </c>
      <c r="V374" s="2" t="e">
        <f t="shared" ref="V374:V398" si="218">IF(AND(AM$3,U$563&gt;0),(W$17+1)*SIN($A374*PI()/180)+W$11,NA())</f>
        <v>#N/A</v>
      </c>
      <c r="X374" s="2" t="e">
        <f t="shared" ref="X374:X398" si="219">IF(AND(AN$3,X$563&gt;0),(Z$17+1)*COS($A374*PI()/180)+X$563,NA())</f>
        <v>#N/A</v>
      </c>
      <c r="Y374" s="2" t="e">
        <f t="shared" ref="Y374:Y398" si="220">IF(AND(AN$3,X$563&gt;0),(Z$17+1)*SIN($A374*PI()/180)+Z$11,NA())</f>
        <v>#N/A</v>
      </c>
      <c r="AA374" s="2" t="e">
        <f t="shared" ref="AA374:AA398" si="221">IF(AND(AO$3,AA$563&gt;0),(AC$17+1)*COS($A374*PI()/180)+AA$563,NA())</f>
        <v>#N/A</v>
      </c>
      <c r="AB374" s="2" t="e">
        <f t="shared" ref="AB374:AB398" si="222">IF(AND(AO$3,AA$563&gt;0),(AC$17+1)*SIN($A374*PI()/180)+AC$11,NA())</f>
        <v>#N/A</v>
      </c>
      <c r="BB374" s="5"/>
      <c r="BC374" s="5"/>
      <c r="BD374" s="5"/>
      <c r="BE374" s="5"/>
      <c r="BF374" s="5"/>
      <c r="BG374" s="5"/>
      <c r="BH374" s="5"/>
    </row>
    <row r="375" spans="1:60" s="2" customFormat="1">
      <c r="A375" s="70">
        <v>15</v>
      </c>
      <c r="C375" s="2" t="e">
        <f t="shared" si="205"/>
        <v>#N/A</v>
      </c>
      <c r="D375" s="2" t="e">
        <f t="shared" si="206"/>
        <v>#N/A</v>
      </c>
      <c r="F375" s="2" t="e">
        <f t="shared" si="207"/>
        <v>#N/A</v>
      </c>
      <c r="G375" s="2" t="e">
        <f t="shared" si="208"/>
        <v>#N/A</v>
      </c>
      <c r="I375" s="2" t="e">
        <f t="shared" si="209"/>
        <v>#N/A</v>
      </c>
      <c r="J375" s="2" t="e">
        <f t="shared" si="210"/>
        <v>#N/A</v>
      </c>
      <c r="L375" s="2" t="e">
        <f t="shared" si="211"/>
        <v>#N/A</v>
      </c>
      <c r="M375" s="2" t="e">
        <f t="shared" si="212"/>
        <v>#N/A</v>
      </c>
      <c r="O375" s="2" t="e">
        <f t="shared" si="213"/>
        <v>#N/A</v>
      </c>
      <c r="P375" s="2" t="e">
        <f t="shared" si="214"/>
        <v>#N/A</v>
      </c>
      <c r="R375" s="2" t="e">
        <f t="shared" si="215"/>
        <v>#N/A</v>
      </c>
      <c r="S375" s="2" t="e">
        <f t="shared" si="216"/>
        <v>#N/A</v>
      </c>
      <c r="U375" s="2" t="e">
        <f t="shared" si="217"/>
        <v>#N/A</v>
      </c>
      <c r="V375" s="2" t="e">
        <f t="shared" si="218"/>
        <v>#N/A</v>
      </c>
      <c r="X375" s="2" t="e">
        <f t="shared" si="219"/>
        <v>#N/A</v>
      </c>
      <c r="Y375" s="2" t="e">
        <f t="shared" si="220"/>
        <v>#N/A</v>
      </c>
      <c r="AA375" s="2" t="e">
        <f t="shared" si="221"/>
        <v>#N/A</v>
      </c>
      <c r="AB375" s="2" t="e">
        <f t="shared" si="222"/>
        <v>#N/A</v>
      </c>
      <c r="BB375" s="5"/>
      <c r="BC375" s="5"/>
      <c r="BD375" s="5"/>
      <c r="BE375" s="5"/>
      <c r="BF375" s="5"/>
      <c r="BG375" s="5"/>
      <c r="BH375" s="5"/>
    </row>
    <row r="376" spans="1:60" s="2" customFormat="1">
      <c r="A376" s="70">
        <v>30</v>
      </c>
      <c r="C376" s="2" t="e">
        <f t="shared" si="205"/>
        <v>#N/A</v>
      </c>
      <c r="D376" s="2" t="e">
        <f t="shared" si="206"/>
        <v>#N/A</v>
      </c>
      <c r="F376" s="2" t="e">
        <f t="shared" si="207"/>
        <v>#N/A</v>
      </c>
      <c r="G376" s="2" t="e">
        <f t="shared" si="208"/>
        <v>#N/A</v>
      </c>
      <c r="I376" s="2" t="e">
        <f t="shared" si="209"/>
        <v>#N/A</v>
      </c>
      <c r="J376" s="2" t="e">
        <f t="shared" si="210"/>
        <v>#N/A</v>
      </c>
      <c r="L376" s="2" t="e">
        <f t="shared" si="211"/>
        <v>#N/A</v>
      </c>
      <c r="M376" s="2" t="e">
        <f t="shared" si="212"/>
        <v>#N/A</v>
      </c>
      <c r="O376" s="2" t="e">
        <f t="shared" si="213"/>
        <v>#N/A</v>
      </c>
      <c r="P376" s="2" t="e">
        <f t="shared" si="214"/>
        <v>#N/A</v>
      </c>
      <c r="R376" s="2" t="e">
        <f t="shared" si="215"/>
        <v>#N/A</v>
      </c>
      <c r="S376" s="2" t="e">
        <f t="shared" si="216"/>
        <v>#N/A</v>
      </c>
      <c r="U376" s="2" t="e">
        <f t="shared" si="217"/>
        <v>#N/A</v>
      </c>
      <c r="V376" s="2" t="e">
        <f t="shared" si="218"/>
        <v>#N/A</v>
      </c>
      <c r="X376" s="2" t="e">
        <f t="shared" si="219"/>
        <v>#N/A</v>
      </c>
      <c r="Y376" s="2" t="e">
        <f t="shared" si="220"/>
        <v>#N/A</v>
      </c>
      <c r="AA376" s="2" t="e">
        <f t="shared" si="221"/>
        <v>#N/A</v>
      </c>
      <c r="AB376" s="2" t="e">
        <f t="shared" si="222"/>
        <v>#N/A</v>
      </c>
      <c r="BB376" s="5"/>
      <c r="BC376" s="5"/>
      <c r="BD376" s="5"/>
      <c r="BE376" s="5"/>
      <c r="BF376" s="5"/>
      <c r="BG376" s="5"/>
      <c r="BH376" s="5"/>
    </row>
    <row r="377" spans="1:60" s="2" customFormat="1">
      <c r="A377" s="70">
        <v>45</v>
      </c>
      <c r="C377" s="2" t="e">
        <f t="shared" si="205"/>
        <v>#N/A</v>
      </c>
      <c r="D377" s="2" t="e">
        <f t="shared" si="206"/>
        <v>#N/A</v>
      </c>
      <c r="F377" s="2" t="e">
        <f t="shared" si="207"/>
        <v>#N/A</v>
      </c>
      <c r="G377" s="2" t="e">
        <f t="shared" si="208"/>
        <v>#N/A</v>
      </c>
      <c r="I377" s="2" t="e">
        <f t="shared" si="209"/>
        <v>#N/A</v>
      </c>
      <c r="J377" s="2" t="e">
        <f t="shared" si="210"/>
        <v>#N/A</v>
      </c>
      <c r="L377" s="2" t="e">
        <f t="shared" si="211"/>
        <v>#N/A</v>
      </c>
      <c r="M377" s="2" t="e">
        <f t="shared" si="212"/>
        <v>#N/A</v>
      </c>
      <c r="O377" s="2" t="e">
        <f t="shared" si="213"/>
        <v>#N/A</v>
      </c>
      <c r="P377" s="2" t="e">
        <f t="shared" si="214"/>
        <v>#N/A</v>
      </c>
      <c r="R377" s="2" t="e">
        <f t="shared" si="215"/>
        <v>#N/A</v>
      </c>
      <c r="S377" s="2" t="e">
        <f t="shared" si="216"/>
        <v>#N/A</v>
      </c>
      <c r="U377" s="2" t="e">
        <f t="shared" si="217"/>
        <v>#N/A</v>
      </c>
      <c r="V377" s="2" t="e">
        <f t="shared" si="218"/>
        <v>#N/A</v>
      </c>
      <c r="X377" s="2" t="e">
        <f t="shared" si="219"/>
        <v>#N/A</v>
      </c>
      <c r="Y377" s="2" t="e">
        <f t="shared" si="220"/>
        <v>#N/A</v>
      </c>
      <c r="AA377" s="2" t="e">
        <f t="shared" si="221"/>
        <v>#N/A</v>
      </c>
      <c r="AB377" s="2" t="e">
        <f t="shared" si="222"/>
        <v>#N/A</v>
      </c>
      <c r="BB377" s="5"/>
      <c r="BC377" s="5"/>
      <c r="BD377" s="5"/>
      <c r="BE377" s="5"/>
      <c r="BF377" s="5"/>
      <c r="BG377" s="5"/>
      <c r="BH377" s="5"/>
    </row>
    <row r="378" spans="1:60" s="2" customFormat="1">
      <c r="A378" s="70">
        <v>60</v>
      </c>
      <c r="C378" s="2" t="e">
        <f t="shared" si="205"/>
        <v>#N/A</v>
      </c>
      <c r="D378" s="2" t="e">
        <f t="shared" si="206"/>
        <v>#N/A</v>
      </c>
      <c r="F378" s="2" t="e">
        <f t="shared" si="207"/>
        <v>#N/A</v>
      </c>
      <c r="G378" s="2" t="e">
        <f t="shared" si="208"/>
        <v>#N/A</v>
      </c>
      <c r="I378" s="2" t="e">
        <f t="shared" si="209"/>
        <v>#N/A</v>
      </c>
      <c r="J378" s="2" t="e">
        <f t="shared" si="210"/>
        <v>#N/A</v>
      </c>
      <c r="L378" s="2" t="e">
        <f t="shared" si="211"/>
        <v>#N/A</v>
      </c>
      <c r="M378" s="2" t="e">
        <f t="shared" si="212"/>
        <v>#N/A</v>
      </c>
      <c r="O378" s="2" t="e">
        <f t="shared" si="213"/>
        <v>#N/A</v>
      </c>
      <c r="P378" s="2" t="e">
        <f t="shared" si="214"/>
        <v>#N/A</v>
      </c>
      <c r="R378" s="2" t="e">
        <f t="shared" si="215"/>
        <v>#N/A</v>
      </c>
      <c r="S378" s="2" t="e">
        <f t="shared" si="216"/>
        <v>#N/A</v>
      </c>
      <c r="U378" s="2" t="e">
        <f t="shared" si="217"/>
        <v>#N/A</v>
      </c>
      <c r="V378" s="2" t="e">
        <f t="shared" si="218"/>
        <v>#N/A</v>
      </c>
      <c r="X378" s="2" t="e">
        <f t="shared" si="219"/>
        <v>#N/A</v>
      </c>
      <c r="Y378" s="2" t="e">
        <f t="shared" si="220"/>
        <v>#N/A</v>
      </c>
      <c r="AA378" s="2" t="e">
        <f t="shared" si="221"/>
        <v>#N/A</v>
      </c>
      <c r="AB378" s="2" t="e">
        <f t="shared" si="222"/>
        <v>#N/A</v>
      </c>
      <c r="BB378" s="5"/>
      <c r="BC378" s="5"/>
      <c r="BD378" s="5"/>
      <c r="BE378" s="5"/>
      <c r="BF378" s="5"/>
      <c r="BG378" s="5"/>
      <c r="BH378" s="5"/>
    </row>
    <row r="379" spans="1:60" s="2" customFormat="1">
      <c r="A379" s="70">
        <v>75</v>
      </c>
      <c r="C379" s="2" t="e">
        <f t="shared" si="205"/>
        <v>#N/A</v>
      </c>
      <c r="D379" s="2" t="e">
        <f t="shared" si="206"/>
        <v>#N/A</v>
      </c>
      <c r="F379" s="2" t="e">
        <f t="shared" si="207"/>
        <v>#N/A</v>
      </c>
      <c r="G379" s="2" t="e">
        <f t="shared" si="208"/>
        <v>#N/A</v>
      </c>
      <c r="I379" s="2" t="e">
        <f t="shared" si="209"/>
        <v>#N/A</v>
      </c>
      <c r="J379" s="2" t="e">
        <f t="shared" si="210"/>
        <v>#N/A</v>
      </c>
      <c r="L379" s="2" t="e">
        <f t="shared" si="211"/>
        <v>#N/A</v>
      </c>
      <c r="M379" s="2" t="e">
        <f t="shared" si="212"/>
        <v>#N/A</v>
      </c>
      <c r="O379" s="2" t="e">
        <f t="shared" si="213"/>
        <v>#N/A</v>
      </c>
      <c r="P379" s="2" t="e">
        <f t="shared" si="214"/>
        <v>#N/A</v>
      </c>
      <c r="R379" s="2" t="e">
        <f t="shared" si="215"/>
        <v>#N/A</v>
      </c>
      <c r="S379" s="2" t="e">
        <f t="shared" si="216"/>
        <v>#N/A</v>
      </c>
      <c r="U379" s="2" t="e">
        <f t="shared" si="217"/>
        <v>#N/A</v>
      </c>
      <c r="V379" s="2" t="e">
        <f t="shared" si="218"/>
        <v>#N/A</v>
      </c>
      <c r="X379" s="2" t="e">
        <f t="shared" si="219"/>
        <v>#N/A</v>
      </c>
      <c r="Y379" s="2" t="e">
        <f t="shared" si="220"/>
        <v>#N/A</v>
      </c>
      <c r="AA379" s="2" t="e">
        <f t="shared" si="221"/>
        <v>#N/A</v>
      </c>
      <c r="AB379" s="2" t="e">
        <f t="shared" si="222"/>
        <v>#N/A</v>
      </c>
      <c r="BB379" s="5"/>
      <c r="BC379" s="5"/>
      <c r="BD379" s="5"/>
      <c r="BE379" s="5"/>
      <c r="BF379" s="5"/>
      <c r="BG379" s="5"/>
      <c r="BH379" s="5"/>
    </row>
    <row r="380" spans="1:60" s="2" customFormat="1">
      <c r="A380" s="70">
        <v>90</v>
      </c>
      <c r="C380" s="2" t="e">
        <f t="shared" si="205"/>
        <v>#N/A</v>
      </c>
      <c r="D380" s="2" t="e">
        <f t="shared" si="206"/>
        <v>#N/A</v>
      </c>
      <c r="F380" s="2" t="e">
        <f t="shared" si="207"/>
        <v>#N/A</v>
      </c>
      <c r="G380" s="2" t="e">
        <f t="shared" si="208"/>
        <v>#N/A</v>
      </c>
      <c r="I380" s="2" t="e">
        <f t="shared" si="209"/>
        <v>#N/A</v>
      </c>
      <c r="J380" s="2" t="e">
        <f t="shared" si="210"/>
        <v>#N/A</v>
      </c>
      <c r="L380" s="2" t="e">
        <f t="shared" si="211"/>
        <v>#N/A</v>
      </c>
      <c r="M380" s="2" t="e">
        <f t="shared" si="212"/>
        <v>#N/A</v>
      </c>
      <c r="O380" s="2" t="e">
        <f t="shared" si="213"/>
        <v>#N/A</v>
      </c>
      <c r="P380" s="2" t="e">
        <f t="shared" si="214"/>
        <v>#N/A</v>
      </c>
      <c r="R380" s="2" t="e">
        <f t="shared" si="215"/>
        <v>#N/A</v>
      </c>
      <c r="S380" s="2" t="e">
        <f t="shared" si="216"/>
        <v>#N/A</v>
      </c>
      <c r="U380" s="2" t="e">
        <f t="shared" si="217"/>
        <v>#N/A</v>
      </c>
      <c r="V380" s="2" t="e">
        <f t="shared" si="218"/>
        <v>#N/A</v>
      </c>
      <c r="X380" s="2" t="e">
        <f t="shared" si="219"/>
        <v>#N/A</v>
      </c>
      <c r="Y380" s="2" t="e">
        <f t="shared" si="220"/>
        <v>#N/A</v>
      </c>
      <c r="AA380" s="2" t="e">
        <f t="shared" si="221"/>
        <v>#N/A</v>
      </c>
      <c r="AB380" s="2" t="e">
        <f t="shared" si="222"/>
        <v>#N/A</v>
      </c>
      <c r="BB380" s="5"/>
      <c r="BC380" s="5"/>
      <c r="BD380" s="5"/>
      <c r="BE380" s="5"/>
      <c r="BF380" s="5"/>
      <c r="BG380" s="5"/>
      <c r="BH380" s="5"/>
    </row>
    <row r="381" spans="1:60" s="2" customFormat="1">
      <c r="A381" s="70">
        <v>105</v>
      </c>
      <c r="C381" s="2" t="e">
        <f t="shared" si="205"/>
        <v>#N/A</v>
      </c>
      <c r="D381" s="2" t="e">
        <f t="shared" si="206"/>
        <v>#N/A</v>
      </c>
      <c r="F381" s="2" t="e">
        <f t="shared" si="207"/>
        <v>#N/A</v>
      </c>
      <c r="G381" s="2" t="e">
        <f t="shared" si="208"/>
        <v>#N/A</v>
      </c>
      <c r="I381" s="2" t="e">
        <f t="shared" si="209"/>
        <v>#N/A</v>
      </c>
      <c r="J381" s="2" t="e">
        <f t="shared" si="210"/>
        <v>#N/A</v>
      </c>
      <c r="L381" s="2" t="e">
        <f t="shared" si="211"/>
        <v>#N/A</v>
      </c>
      <c r="M381" s="2" t="e">
        <f t="shared" si="212"/>
        <v>#N/A</v>
      </c>
      <c r="O381" s="2" t="e">
        <f t="shared" si="213"/>
        <v>#N/A</v>
      </c>
      <c r="P381" s="2" t="e">
        <f t="shared" si="214"/>
        <v>#N/A</v>
      </c>
      <c r="R381" s="2" t="e">
        <f t="shared" si="215"/>
        <v>#N/A</v>
      </c>
      <c r="S381" s="2" t="e">
        <f t="shared" si="216"/>
        <v>#N/A</v>
      </c>
      <c r="U381" s="2" t="e">
        <f t="shared" si="217"/>
        <v>#N/A</v>
      </c>
      <c r="V381" s="2" t="e">
        <f t="shared" si="218"/>
        <v>#N/A</v>
      </c>
      <c r="X381" s="2" t="e">
        <f t="shared" si="219"/>
        <v>#N/A</v>
      </c>
      <c r="Y381" s="2" t="e">
        <f t="shared" si="220"/>
        <v>#N/A</v>
      </c>
      <c r="AA381" s="2" t="e">
        <f t="shared" si="221"/>
        <v>#N/A</v>
      </c>
      <c r="AB381" s="2" t="e">
        <f t="shared" si="222"/>
        <v>#N/A</v>
      </c>
      <c r="BB381" s="5"/>
      <c r="BC381" s="5"/>
      <c r="BD381" s="5"/>
      <c r="BE381" s="5"/>
      <c r="BF381" s="5"/>
      <c r="BG381" s="5"/>
      <c r="BH381" s="5"/>
    </row>
    <row r="382" spans="1:60" s="2" customFormat="1">
      <c r="A382" s="70">
        <v>120</v>
      </c>
      <c r="C382" s="2" t="e">
        <f t="shared" si="205"/>
        <v>#N/A</v>
      </c>
      <c r="D382" s="2" t="e">
        <f t="shared" si="206"/>
        <v>#N/A</v>
      </c>
      <c r="F382" s="2" t="e">
        <f t="shared" si="207"/>
        <v>#N/A</v>
      </c>
      <c r="G382" s="2" t="e">
        <f t="shared" si="208"/>
        <v>#N/A</v>
      </c>
      <c r="I382" s="2" t="e">
        <f t="shared" si="209"/>
        <v>#N/A</v>
      </c>
      <c r="J382" s="2" t="e">
        <f t="shared" si="210"/>
        <v>#N/A</v>
      </c>
      <c r="L382" s="2" t="e">
        <f t="shared" si="211"/>
        <v>#N/A</v>
      </c>
      <c r="M382" s="2" t="e">
        <f t="shared" si="212"/>
        <v>#N/A</v>
      </c>
      <c r="O382" s="2" t="e">
        <f t="shared" si="213"/>
        <v>#N/A</v>
      </c>
      <c r="P382" s="2" t="e">
        <f t="shared" si="214"/>
        <v>#N/A</v>
      </c>
      <c r="R382" s="2" t="e">
        <f t="shared" si="215"/>
        <v>#N/A</v>
      </c>
      <c r="S382" s="2" t="e">
        <f t="shared" si="216"/>
        <v>#N/A</v>
      </c>
      <c r="U382" s="2" t="e">
        <f t="shared" si="217"/>
        <v>#N/A</v>
      </c>
      <c r="V382" s="2" t="e">
        <f t="shared" si="218"/>
        <v>#N/A</v>
      </c>
      <c r="X382" s="2" t="e">
        <f t="shared" si="219"/>
        <v>#N/A</v>
      </c>
      <c r="Y382" s="2" t="e">
        <f t="shared" si="220"/>
        <v>#N/A</v>
      </c>
      <c r="AA382" s="2" t="e">
        <f t="shared" si="221"/>
        <v>#N/A</v>
      </c>
      <c r="AB382" s="2" t="e">
        <f t="shared" si="222"/>
        <v>#N/A</v>
      </c>
      <c r="BB382" s="5"/>
      <c r="BC382" s="5"/>
      <c r="BD382" s="5"/>
      <c r="BE382" s="5"/>
      <c r="BF382" s="5"/>
      <c r="BG382" s="5"/>
      <c r="BH382" s="5"/>
    </row>
    <row r="383" spans="1:60" s="2" customFormat="1">
      <c r="A383" s="70">
        <v>135</v>
      </c>
      <c r="C383" s="2" t="e">
        <f t="shared" si="205"/>
        <v>#N/A</v>
      </c>
      <c r="D383" s="2" t="e">
        <f t="shared" si="206"/>
        <v>#N/A</v>
      </c>
      <c r="F383" s="2" t="e">
        <f t="shared" si="207"/>
        <v>#N/A</v>
      </c>
      <c r="G383" s="2" t="e">
        <f t="shared" si="208"/>
        <v>#N/A</v>
      </c>
      <c r="I383" s="2" t="e">
        <f t="shared" si="209"/>
        <v>#N/A</v>
      </c>
      <c r="J383" s="2" t="e">
        <f t="shared" si="210"/>
        <v>#N/A</v>
      </c>
      <c r="L383" s="2" t="e">
        <f t="shared" si="211"/>
        <v>#N/A</v>
      </c>
      <c r="M383" s="2" t="e">
        <f t="shared" si="212"/>
        <v>#N/A</v>
      </c>
      <c r="O383" s="2" t="e">
        <f t="shared" si="213"/>
        <v>#N/A</v>
      </c>
      <c r="P383" s="2" t="e">
        <f t="shared" si="214"/>
        <v>#N/A</v>
      </c>
      <c r="R383" s="2" t="e">
        <f t="shared" si="215"/>
        <v>#N/A</v>
      </c>
      <c r="S383" s="2" t="e">
        <f t="shared" si="216"/>
        <v>#N/A</v>
      </c>
      <c r="U383" s="2" t="e">
        <f t="shared" si="217"/>
        <v>#N/A</v>
      </c>
      <c r="V383" s="2" t="e">
        <f t="shared" si="218"/>
        <v>#N/A</v>
      </c>
      <c r="X383" s="2" t="e">
        <f t="shared" si="219"/>
        <v>#N/A</v>
      </c>
      <c r="Y383" s="2" t="e">
        <f t="shared" si="220"/>
        <v>#N/A</v>
      </c>
      <c r="AA383" s="2" t="e">
        <f t="shared" si="221"/>
        <v>#N/A</v>
      </c>
      <c r="AB383" s="2" t="e">
        <f t="shared" si="222"/>
        <v>#N/A</v>
      </c>
      <c r="BB383" s="5"/>
      <c r="BC383" s="5"/>
      <c r="BD383" s="5"/>
      <c r="BE383" s="5"/>
      <c r="BF383" s="5"/>
      <c r="BG383" s="5"/>
      <c r="BH383" s="5"/>
    </row>
    <row r="384" spans="1:60" s="2" customFormat="1">
      <c r="A384" s="70">
        <v>150</v>
      </c>
      <c r="C384" s="2" t="e">
        <f t="shared" si="205"/>
        <v>#N/A</v>
      </c>
      <c r="D384" s="2" t="e">
        <f t="shared" si="206"/>
        <v>#N/A</v>
      </c>
      <c r="F384" s="2" t="e">
        <f t="shared" si="207"/>
        <v>#N/A</v>
      </c>
      <c r="G384" s="2" t="e">
        <f t="shared" si="208"/>
        <v>#N/A</v>
      </c>
      <c r="I384" s="2" t="e">
        <f t="shared" si="209"/>
        <v>#N/A</v>
      </c>
      <c r="J384" s="2" t="e">
        <f t="shared" si="210"/>
        <v>#N/A</v>
      </c>
      <c r="L384" s="2" t="e">
        <f t="shared" si="211"/>
        <v>#N/A</v>
      </c>
      <c r="M384" s="2" t="e">
        <f t="shared" si="212"/>
        <v>#N/A</v>
      </c>
      <c r="O384" s="2" t="e">
        <f t="shared" si="213"/>
        <v>#N/A</v>
      </c>
      <c r="P384" s="2" t="e">
        <f t="shared" si="214"/>
        <v>#N/A</v>
      </c>
      <c r="R384" s="2" t="e">
        <f t="shared" si="215"/>
        <v>#N/A</v>
      </c>
      <c r="S384" s="2" t="e">
        <f t="shared" si="216"/>
        <v>#N/A</v>
      </c>
      <c r="U384" s="2" t="e">
        <f t="shared" si="217"/>
        <v>#N/A</v>
      </c>
      <c r="V384" s="2" t="e">
        <f t="shared" si="218"/>
        <v>#N/A</v>
      </c>
      <c r="X384" s="2" t="e">
        <f t="shared" si="219"/>
        <v>#N/A</v>
      </c>
      <c r="Y384" s="2" t="e">
        <f t="shared" si="220"/>
        <v>#N/A</v>
      </c>
      <c r="AA384" s="2" t="e">
        <f t="shared" si="221"/>
        <v>#N/A</v>
      </c>
      <c r="AB384" s="2" t="e">
        <f t="shared" si="222"/>
        <v>#N/A</v>
      </c>
      <c r="BB384" s="5"/>
      <c r="BC384" s="5"/>
      <c r="BD384" s="5"/>
      <c r="BE384" s="5"/>
      <c r="BF384" s="5"/>
      <c r="BG384" s="5"/>
      <c r="BH384" s="5"/>
    </row>
    <row r="385" spans="1:60" s="2" customFormat="1">
      <c r="A385" s="70">
        <v>165</v>
      </c>
      <c r="C385" s="2" t="e">
        <f t="shared" si="205"/>
        <v>#N/A</v>
      </c>
      <c r="D385" s="2" t="e">
        <f t="shared" si="206"/>
        <v>#N/A</v>
      </c>
      <c r="F385" s="2" t="e">
        <f t="shared" si="207"/>
        <v>#N/A</v>
      </c>
      <c r="G385" s="2" t="e">
        <f t="shared" si="208"/>
        <v>#N/A</v>
      </c>
      <c r="I385" s="2" t="e">
        <f t="shared" si="209"/>
        <v>#N/A</v>
      </c>
      <c r="J385" s="2" t="e">
        <f t="shared" si="210"/>
        <v>#N/A</v>
      </c>
      <c r="L385" s="2" t="e">
        <f t="shared" si="211"/>
        <v>#N/A</v>
      </c>
      <c r="M385" s="2" t="e">
        <f t="shared" si="212"/>
        <v>#N/A</v>
      </c>
      <c r="O385" s="2" t="e">
        <f t="shared" si="213"/>
        <v>#N/A</v>
      </c>
      <c r="P385" s="2" t="e">
        <f t="shared" si="214"/>
        <v>#N/A</v>
      </c>
      <c r="R385" s="2" t="e">
        <f t="shared" si="215"/>
        <v>#N/A</v>
      </c>
      <c r="S385" s="2" t="e">
        <f t="shared" si="216"/>
        <v>#N/A</v>
      </c>
      <c r="U385" s="2" t="e">
        <f t="shared" si="217"/>
        <v>#N/A</v>
      </c>
      <c r="V385" s="2" t="e">
        <f t="shared" si="218"/>
        <v>#N/A</v>
      </c>
      <c r="X385" s="2" t="e">
        <f t="shared" si="219"/>
        <v>#N/A</v>
      </c>
      <c r="Y385" s="2" t="e">
        <f t="shared" si="220"/>
        <v>#N/A</v>
      </c>
      <c r="AA385" s="2" t="e">
        <f t="shared" si="221"/>
        <v>#N/A</v>
      </c>
      <c r="AB385" s="2" t="e">
        <f t="shared" si="222"/>
        <v>#N/A</v>
      </c>
      <c r="BB385" s="5"/>
      <c r="BC385" s="5"/>
      <c r="BD385" s="5"/>
      <c r="BE385" s="5"/>
      <c r="BF385" s="5"/>
      <c r="BG385" s="5"/>
      <c r="BH385" s="5"/>
    </row>
    <row r="386" spans="1:60" s="2" customFormat="1">
      <c r="A386" s="70">
        <v>180</v>
      </c>
      <c r="C386" s="2" t="e">
        <f t="shared" si="205"/>
        <v>#N/A</v>
      </c>
      <c r="D386" s="2" t="e">
        <f t="shared" si="206"/>
        <v>#N/A</v>
      </c>
      <c r="F386" s="2" t="e">
        <f t="shared" si="207"/>
        <v>#N/A</v>
      </c>
      <c r="G386" s="2" t="e">
        <f t="shared" si="208"/>
        <v>#N/A</v>
      </c>
      <c r="I386" s="2" t="e">
        <f t="shared" si="209"/>
        <v>#N/A</v>
      </c>
      <c r="J386" s="2" t="e">
        <f t="shared" si="210"/>
        <v>#N/A</v>
      </c>
      <c r="L386" s="2" t="e">
        <f t="shared" si="211"/>
        <v>#N/A</v>
      </c>
      <c r="M386" s="2" t="e">
        <f t="shared" si="212"/>
        <v>#N/A</v>
      </c>
      <c r="O386" s="2" t="e">
        <f t="shared" si="213"/>
        <v>#N/A</v>
      </c>
      <c r="P386" s="2" t="e">
        <f t="shared" si="214"/>
        <v>#N/A</v>
      </c>
      <c r="R386" s="2" t="e">
        <f t="shared" si="215"/>
        <v>#N/A</v>
      </c>
      <c r="S386" s="2" t="e">
        <f t="shared" si="216"/>
        <v>#N/A</v>
      </c>
      <c r="U386" s="2" t="e">
        <f t="shared" si="217"/>
        <v>#N/A</v>
      </c>
      <c r="V386" s="2" t="e">
        <f t="shared" si="218"/>
        <v>#N/A</v>
      </c>
      <c r="X386" s="2" t="e">
        <f t="shared" si="219"/>
        <v>#N/A</v>
      </c>
      <c r="Y386" s="2" t="e">
        <f t="shared" si="220"/>
        <v>#N/A</v>
      </c>
      <c r="AA386" s="2" t="e">
        <f t="shared" si="221"/>
        <v>#N/A</v>
      </c>
      <c r="AB386" s="2" t="e">
        <f t="shared" si="222"/>
        <v>#N/A</v>
      </c>
      <c r="BB386" s="5"/>
      <c r="BC386" s="5"/>
      <c r="BD386" s="5"/>
      <c r="BE386" s="5"/>
      <c r="BF386" s="5"/>
      <c r="BG386" s="5"/>
      <c r="BH386" s="5"/>
    </row>
    <row r="387" spans="1:60" s="2" customFormat="1">
      <c r="A387" s="70">
        <v>195</v>
      </c>
      <c r="C387" s="2" t="e">
        <f t="shared" si="205"/>
        <v>#N/A</v>
      </c>
      <c r="D387" s="2" t="e">
        <f t="shared" si="206"/>
        <v>#N/A</v>
      </c>
      <c r="F387" s="2" t="e">
        <f t="shared" si="207"/>
        <v>#N/A</v>
      </c>
      <c r="G387" s="2" t="e">
        <f t="shared" si="208"/>
        <v>#N/A</v>
      </c>
      <c r="I387" s="2" t="e">
        <f t="shared" si="209"/>
        <v>#N/A</v>
      </c>
      <c r="J387" s="2" t="e">
        <f t="shared" si="210"/>
        <v>#N/A</v>
      </c>
      <c r="L387" s="2" t="e">
        <f t="shared" si="211"/>
        <v>#N/A</v>
      </c>
      <c r="M387" s="2" t="e">
        <f t="shared" si="212"/>
        <v>#N/A</v>
      </c>
      <c r="O387" s="2" t="e">
        <f t="shared" si="213"/>
        <v>#N/A</v>
      </c>
      <c r="P387" s="2" t="e">
        <f t="shared" si="214"/>
        <v>#N/A</v>
      </c>
      <c r="R387" s="2" t="e">
        <f t="shared" si="215"/>
        <v>#N/A</v>
      </c>
      <c r="S387" s="2" t="e">
        <f t="shared" si="216"/>
        <v>#N/A</v>
      </c>
      <c r="U387" s="2" t="e">
        <f t="shared" si="217"/>
        <v>#N/A</v>
      </c>
      <c r="V387" s="2" t="e">
        <f t="shared" si="218"/>
        <v>#N/A</v>
      </c>
      <c r="X387" s="2" t="e">
        <f t="shared" si="219"/>
        <v>#N/A</v>
      </c>
      <c r="Y387" s="2" t="e">
        <f t="shared" si="220"/>
        <v>#N/A</v>
      </c>
      <c r="AA387" s="2" t="e">
        <f t="shared" si="221"/>
        <v>#N/A</v>
      </c>
      <c r="AB387" s="2" t="e">
        <f t="shared" si="222"/>
        <v>#N/A</v>
      </c>
      <c r="BB387" s="5"/>
      <c r="BC387" s="5"/>
      <c r="BD387" s="5"/>
      <c r="BE387" s="5"/>
      <c r="BF387" s="5"/>
      <c r="BG387" s="5"/>
      <c r="BH387" s="5"/>
    </row>
    <row r="388" spans="1:60" s="2" customFormat="1">
      <c r="A388" s="70">
        <v>210</v>
      </c>
      <c r="C388" s="2" t="e">
        <f t="shared" si="205"/>
        <v>#N/A</v>
      </c>
      <c r="D388" s="2" t="e">
        <f t="shared" si="206"/>
        <v>#N/A</v>
      </c>
      <c r="F388" s="2" t="e">
        <f t="shared" si="207"/>
        <v>#N/A</v>
      </c>
      <c r="G388" s="2" t="e">
        <f t="shared" si="208"/>
        <v>#N/A</v>
      </c>
      <c r="I388" s="2" t="e">
        <f t="shared" si="209"/>
        <v>#N/A</v>
      </c>
      <c r="J388" s="2" t="e">
        <f t="shared" si="210"/>
        <v>#N/A</v>
      </c>
      <c r="L388" s="2" t="e">
        <f t="shared" si="211"/>
        <v>#N/A</v>
      </c>
      <c r="M388" s="2" t="e">
        <f t="shared" si="212"/>
        <v>#N/A</v>
      </c>
      <c r="O388" s="2" t="e">
        <f t="shared" si="213"/>
        <v>#N/A</v>
      </c>
      <c r="P388" s="2" t="e">
        <f t="shared" si="214"/>
        <v>#N/A</v>
      </c>
      <c r="R388" s="2" t="e">
        <f t="shared" si="215"/>
        <v>#N/A</v>
      </c>
      <c r="S388" s="2" t="e">
        <f t="shared" si="216"/>
        <v>#N/A</v>
      </c>
      <c r="U388" s="2" t="e">
        <f t="shared" si="217"/>
        <v>#N/A</v>
      </c>
      <c r="V388" s="2" t="e">
        <f t="shared" si="218"/>
        <v>#N/A</v>
      </c>
      <c r="X388" s="2" t="e">
        <f t="shared" si="219"/>
        <v>#N/A</v>
      </c>
      <c r="Y388" s="2" t="e">
        <f t="shared" si="220"/>
        <v>#N/A</v>
      </c>
      <c r="AA388" s="2" t="e">
        <f t="shared" si="221"/>
        <v>#N/A</v>
      </c>
      <c r="AB388" s="2" t="e">
        <f t="shared" si="222"/>
        <v>#N/A</v>
      </c>
      <c r="BB388" s="5"/>
      <c r="BC388" s="5"/>
      <c r="BD388" s="5"/>
      <c r="BE388" s="5"/>
      <c r="BF388" s="5"/>
      <c r="BG388" s="5"/>
      <c r="BH388" s="5"/>
    </row>
    <row r="389" spans="1:60" s="2" customFormat="1">
      <c r="A389" s="70">
        <v>225</v>
      </c>
      <c r="C389" s="2" t="e">
        <f t="shared" si="205"/>
        <v>#N/A</v>
      </c>
      <c r="D389" s="2" t="e">
        <f t="shared" si="206"/>
        <v>#N/A</v>
      </c>
      <c r="F389" s="2" t="e">
        <f t="shared" si="207"/>
        <v>#N/A</v>
      </c>
      <c r="G389" s="2" t="e">
        <f t="shared" si="208"/>
        <v>#N/A</v>
      </c>
      <c r="I389" s="2" t="e">
        <f t="shared" si="209"/>
        <v>#N/A</v>
      </c>
      <c r="J389" s="2" t="e">
        <f t="shared" si="210"/>
        <v>#N/A</v>
      </c>
      <c r="L389" s="2" t="e">
        <f t="shared" si="211"/>
        <v>#N/A</v>
      </c>
      <c r="M389" s="2" t="e">
        <f t="shared" si="212"/>
        <v>#N/A</v>
      </c>
      <c r="O389" s="2" t="e">
        <f t="shared" si="213"/>
        <v>#N/A</v>
      </c>
      <c r="P389" s="2" t="e">
        <f t="shared" si="214"/>
        <v>#N/A</v>
      </c>
      <c r="R389" s="2" t="e">
        <f t="shared" si="215"/>
        <v>#N/A</v>
      </c>
      <c r="S389" s="2" t="e">
        <f t="shared" si="216"/>
        <v>#N/A</v>
      </c>
      <c r="U389" s="2" t="e">
        <f t="shared" si="217"/>
        <v>#N/A</v>
      </c>
      <c r="V389" s="2" t="e">
        <f t="shared" si="218"/>
        <v>#N/A</v>
      </c>
      <c r="X389" s="2" t="e">
        <f t="shared" si="219"/>
        <v>#N/A</v>
      </c>
      <c r="Y389" s="2" t="e">
        <f t="shared" si="220"/>
        <v>#N/A</v>
      </c>
      <c r="AA389" s="2" t="e">
        <f t="shared" si="221"/>
        <v>#N/A</v>
      </c>
      <c r="AB389" s="2" t="e">
        <f t="shared" si="222"/>
        <v>#N/A</v>
      </c>
      <c r="BB389" s="5"/>
      <c r="BC389" s="5"/>
      <c r="BD389" s="5"/>
      <c r="BE389" s="5"/>
      <c r="BF389" s="5"/>
      <c r="BG389" s="5"/>
      <c r="BH389" s="5"/>
    </row>
    <row r="390" spans="1:60" s="2" customFormat="1">
      <c r="A390" s="70">
        <v>240</v>
      </c>
      <c r="C390" s="2" t="e">
        <f t="shared" si="205"/>
        <v>#N/A</v>
      </c>
      <c r="D390" s="2" t="e">
        <f t="shared" si="206"/>
        <v>#N/A</v>
      </c>
      <c r="F390" s="2" t="e">
        <f t="shared" si="207"/>
        <v>#N/A</v>
      </c>
      <c r="G390" s="2" t="e">
        <f t="shared" si="208"/>
        <v>#N/A</v>
      </c>
      <c r="I390" s="2" t="e">
        <f t="shared" si="209"/>
        <v>#N/A</v>
      </c>
      <c r="J390" s="2" t="e">
        <f t="shared" si="210"/>
        <v>#N/A</v>
      </c>
      <c r="L390" s="2" t="e">
        <f t="shared" si="211"/>
        <v>#N/A</v>
      </c>
      <c r="M390" s="2" t="e">
        <f t="shared" si="212"/>
        <v>#N/A</v>
      </c>
      <c r="O390" s="2" t="e">
        <f t="shared" si="213"/>
        <v>#N/A</v>
      </c>
      <c r="P390" s="2" t="e">
        <f t="shared" si="214"/>
        <v>#N/A</v>
      </c>
      <c r="R390" s="2" t="e">
        <f t="shared" si="215"/>
        <v>#N/A</v>
      </c>
      <c r="S390" s="2" t="e">
        <f t="shared" si="216"/>
        <v>#N/A</v>
      </c>
      <c r="U390" s="2" t="e">
        <f t="shared" si="217"/>
        <v>#N/A</v>
      </c>
      <c r="V390" s="2" t="e">
        <f t="shared" si="218"/>
        <v>#N/A</v>
      </c>
      <c r="X390" s="2" t="e">
        <f t="shared" si="219"/>
        <v>#N/A</v>
      </c>
      <c r="Y390" s="2" t="e">
        <f t="shared" si="220"/>
        <v>#N/A</v>
      </c>
      <c r="AA390" s="2" t="e">
        <f t="shared" si="221"/>
        <v>#N/A</v>
      </c>
      <c r="AB390" s="2" t="e">
        <f t="shared" si="222"/>
        <v>#N/A</v>
      </c>
      <c r="BB390" s="5"/>
      <c r="BC390" s="5"/>
      <c r="BD390" s="5"/>
      <c r="BE390" s="5"/>
      <c r="BF390" s="5"/>
      <c r="BG390" s="5"/>
      <c r="BH390" s="5"/>
    </row>
    <row r="391" spans="1:60" s="2" customFormat="1">
      <c r="A391" s="70">
        <v>255</v>
      </c>
      <c r="C391" s="2" t="e">
        <f t="shared" si="205"/>
        <v>#N/A</v>
      </c>
      <c r="D391" s="2" t="e">
        <f t="shared" si="206"/>
        <v>#N/A</v>
      </c>
      <c r="F391" s="2" t="e">
        <f t="shared" si="207"/>
        <v>#N/A</v>
      </c>
      <c r="G391" s="2" t="e">
        <f t="shared" si="208"/>
        <v>#N/A</v>
      </c>
      <c r="I391" s="2" t="e">
        <f t="shared" si="209"/>
        <v>#N/A</v>
      </c>
      <c r="J391" s="2" t="e">
        <f t="shared" si="210"/>
        <v>#N/A</v>
      </c>
      <c r="L391" s="2" t="e">
        <f t="shared" si="211"/>
        <v>#N/A</v>
      </c>
      <c r="M391" s="2" t="e">
        <f t="shared" si="212"/>
        <v>#N/A</v>
      </c>
      <c r="O391" s="2" t="e">
        <f t="shared" si="213"/>
        <v>#N/A</v>
      </c>
      <c r="P391" s="2" t="e">
        <f t="shared" si="214"/>
        <v>#N/A</v>
      </c>
      <c r="R391" s="2" t="e">
        <f t="shared" si="215"/>
        <v>#N/A</v>
      </c>
      <c r="S391" s="2" t="e">
        <f t="shared" si="216"/>
        <v>#N/A</v>
      </c>
      <c r="U391" s="2" t="e">
        <f t="shared" si="217"/>
        <v>#N/A</v>
      </c>
      <c r="V391" s="2" t="e">
        <f t="shared" si="218"/>
        <v>#N/A</v>
      </c>
      <c r="X391" s="2" t="e">
        <f t="shared" si="219"/>
        <v>#N/A</v>
      </c>
      <c r="Y391" s="2" t="e">
        <f t="shared" si="220"/>
        <v>#N/A</v>
      </c>
      <c r="AA391" s="2" t="e">
        <f t="shared" si="221"/>
        <v>#N/A</v>
      </c>
      <c r="AB391" s="2" t="e">
        <f t="shared" si="222"/>
        <v>#N/A</v>
      </c>
      <c r="BB391" s="5"/>
      <c r="BC391" s="5"/>
      <c r="BD391" s="5"/>
      <c r="BE391" s="5"/>
      <c r="BF391" s="5"/>
      <c r="BG391" s="5"/>
      <c r="BH391" s="5"/>
    </row>
    <row r="392" spans="1:60" s="2" customFormat="1">
      <c r="A392" s="70">
        <v>270</v>
      </c>
      <c r="C392" s="2" t="e">
        <f t="shared" si="205"/>
        <v>#N/A</v>
      </c>
      <c r="D392" s="2" t="e">
        <f t="shared" si="206"/>
        <v>#N/A</v>
      </c>
      <c r="F392" s="2" t="e">
        <f t="shared" si="207"/>
        <v>#N/A</v>
      </c>
      <c r="G392" s="2" t="e">
        <f t="shared" si="208"/>
        <v>#N/A</v>
      </c>
      <c r="I392" s="2" t="e">
        <f t="shared" si="209"/>
        <v>#N/A</v>
      </c>
      <c r="J392" s="2" t="e">
        <f t="shared" si="210"/>
        <v>#N/A</v>
      </c>
      <c r="L392" s="2" t="e">
        <f t="shared" si="211"/>
        <v>#N/A</v>
      </c>
      <c r="M392" s="2" t="e">
        <f t="shared" si="212"/>
        <v>#N/A</v>
      </c>
      <c r="O392" s="2" t="e">
        <f t="shared" si="213"/>
        <v>#N/A</v>
      </c>
      <c r="P392" s="2" t="e">
        <f t="shared" si="214"/>
        <v>#N/A</v>
      </c>
      <c r="R392" s="2" t="e">
        <f t="shared" si="215"/>
        <v>#N/A</v>
      </c>
      <c r="S392" s="2" t="e">
        <f t="shared" si="216"/>
        <v>#N/A</v>
      </c>
      <c r="U392" s="2" t="e">
        <f t="shared" si="217"/>
        <v>#N/A</v>
      </c>
      <c r="V392" s="2" t="e">
        <f t="shared" si="218"/>
        <v>#N/A</v>
      </c>
      <c r="X392" s="2" t="e">
        <f t="shared" si="219"/>
        <v>#N/A</v>
      </c>
      <c r="Y392" s="2" t="e">
        <f t="shared" si="220"/>
        <v>#N/A</v>
      </c>
      <c r="AA392" s="2" t="e">
        <f t="shared" si="221"/>
        <v>#N/A</v>
      </c>
      <c r="AB392" s="2" t="e">
        <f t="shared" si="222"/>
        <v>#N/A</v>
      </c>
      <c r="BB392" s="5"/>
      <c r="BC392" s="5"/>
      <c r="BD392" s="5"/>
      <c r="BE392" s="5"/>
      <c r="BF392" s="5"/>
      <c r="BG392" s="5"/>
      <c r="BH392" s="5"/>
    </row>
    <row r="393" spans="1:60" s="2" customFormat="1">
      <c r="A393" s="70">
        <v>285</v>
      </c>
      <c r="C393" s="2" t="e">
        <f t="shared" si="205"/>
        <v>#N/A</v>
      </c>
      <c r="D393" s="2" t="e">
        <f t="shared" si="206"/>
        <v>#N/A</v>
      </c>
      <c r="F393" s="2" t="e">
        <f t="shared" si="207"/>
        <v>#N/A</v>
      </c>
      <c r="G393" s="2" t="e">
        <f t="shared" si="208"/>
        <v>#N/A</v>
      </c>
      <c r="I393" s="2" t="e">
        <f t="shared" si="209"/>
        <v>#N/A</v>
      </c>
      <c r="J393" s="2" t="e">
        <f t="shared" si="210"/>
        <v>#N/A</v>
      </c>
      <c r="L393" s="2" t="e">
        <f t="shared" si="211"/>
        <v>#N/A</v>
      </c>
      <c r="M393" s="2" t="e">
        <f t="shared" si="212"/>
        <v>#N/A</v>
      </c>
      <c r="O393" s="2" t="e">
        <f t="shared" si="213"/>
        <v>#N/A</v>
      </c>
      <c r="P393" s="2" t="e">
        <f t="shared" si="214"/>
        <v>#N/A</v>
      </c>
      <c r="R393" s="2" t="e">
        <f t="shared" si="215"/>
        <v>#N/A</v>
      </c>
      <c r="S393" s="2" t="e">
        <f t="shared" si="216"/>
        <v>#N/A</v>
      </c>
      <c r="U393" s="2" t="e">
        <f t="shared" si="217"/>
        <v>#N/A</v>
      </c>
      <c r="V393" s="2" t="e">
        <f t="shared" si="218"/>
        <v>#N/A</v>
      </c>
      <c r="X393" s="2" t="e">
        <f t="shared" si="219"/>
        <v>#N/A</v>
      </c>
      <c r="Y393" s="2" t="e">
        <f t="shared" si="220"/>
        <v>#N/A</v>
      </c>
      <c r="AA393" s="2" t="e">
        <f t="shared" si="221"/>
        <v>#N/A</v>
      </c>
      <c r="AB393" s="2" t="e">
        <f t="shared" si="222"/>
        <v>#N/A</v>
      </c>
      <c r="BB393" s="5"/>
      <c r="BC393" s="5"/>
      <c r="BD393" s="5"/>
      <c r="BE393" s="5"/>
      <c r="BF393" s="5"/>
      <c r="BG393" s="5"/>
      <c r="BH393" s="5"/>
    </row>
    <row r="394" spans="1:60" s="2" customFormat="1">
      <c r="A394" s="70">
        <v>300</v>
      </c>
      <c r="C394" s="2" t="e">
        <f t="shared" si="205"/>
        <v>#N/A</v>
      </c>
      <c r="D394" s="2" t="e">
        <f t="shared" si="206"/>
        <v>#N/A</v>
      </c>
      <c r="F394" s="2" t="e">
        <f t="shared" si="207"/>
        <v>#N/A</v>
      </c>
      <c r="G394" s="2" t="e">
        <f t="shared" si="208"/>
        <v>#N/A</v>
      </c>
      <c r="I394" s="2" t="e">
        <f t="shared" si="209"/>
        <v>#N/A</v>
      </c>
      <c r="J394" s="2" t="e">
        <f t="shared" si="210"/>
        <v>#N/A</v>
      </c>
      <c r="L394" s="2" t="e">
        <f t="shared" si="211"/>
        <v>#N/A</v>
      </c>
      <c r="M394" s="2" t="e">
        <f t="shared" si="212"/>
        <v>#N/A</v>
      </c>
      <c r="O394" s="2" t="e">
        <f t="shared" si="213"/>
        <v>#N/A</v>
      </c>
      <c r="P394" s="2" t="e">
        <f t="shared" si="214"/>
        <v>#N/A</v>
      </c>
      <c r="R394" s="2" t="e">
        <f t="shared" si="215"/>
        <v>#N/A</v>
      </c>
      <c r="S394" s="2" t="e">
        <f t="shared" si="216"/>
        <v>#N/A</v>
      </c>
      <c r="U394" s="2" t="e">
        <f t="shared" si="217"/>
        <v>#N/A</v>
      </c>
      <c r="V394" s="2" t="e">
        <f t="shared" si="218"/>
        <v>#N/A</v>
      </c>
      <c r="X394" s="2" t="e">
        <f t="shared" si="219"/>
        <v>#N/A</v>
      </c>
      <c r="Y394" s="2" t="e">
        <f t="shared" si="220"/>
        <v>#N/A</v>
      </c>
      <c r="AA394" s="2" t="e">
        <f t="shared" si="221"/>
        <v>#N/A</v>
      </c>
      <c r="AB394" s="2" t="e">
        <f t="shared" si="222"/>
        <v>#N/A</v>
      </c>
      <c r="BB394" s="5"/>
      <c r="BC394" s="5"/>
      <c r="BD394" s="5"/>
      <c r="BE394" s="5"/>
      <c r="BF394" s="5"/>
      <c r="BG394" s="5"/>
      <c r="BH394" s="5"/>
    </row>
    <row r="395" spans="1:60" s="2" customFormat="1">
      <c r="A395" s="70">
        <v>315</v>
      </c>
      <c r="C395" s="2" t="e">
        <f t="shared" si="205"/>
        <v>#N/A</v>
      </c>
      <c r="D395" s="2" t="e">
        <f t="shared" si="206"/>
        <v>#N/A</v>
      </c>
      <c r="F395" s="2" t="e">
        <f t="shared" si="207"/>
        <v>#N/A</v>
      </c>
      <c r="G395" s="2" t="e">
        <f t="shared" si="208"/>
        <v>#N/A</v>
      </c>
      <c r="I395" s="2" t="e">
        <f t="shared" si="209"/>
        <v>#N/A</v>
      </c>
      <c r="J395" s="2" t="e">
        <f t="shared" si="210"/>
        <v>#N/A</v>
      </c>
      <c r="L395" s="2" t="e">
        <f t="shared" si="211"/>
        <v>#N/A</v>
      </c>
      <c r="M395" s="2" t="e">
        <f t="shared" si="212"/>
        <v>#N/A</v>
      </c>
      <c r="O395" s="2" t="e">
        <f t="shared" si="213"/>
        <v>#N/A</v>
      </c>
      <c r="P395" s="2" t="e">
        <f t="shared" si="214"/>
        <v>#N/A</v>
      </c>
      <c r="R395" s="2" t="e">
        <f t="shared" si="215"/>
        <v>#N/A</v>
      </c>
      <c r="S395" s="2" t="e">
        <f t="shared" si="216"/>
        <v>#N/A</v>
      </c>
      <c r="U395" s="2" t="e">
        <f t="shared" si="217"/>
        <v>#N/A</v>
      </c>
      <c r="V395" s="2" t="e">
        <f t="shared" si="218"/>
        <v>#N/A</v>
      </c>
      <c r="X395" s="2" t="e">
        <f t="shared" si="219"/>
        <v>#N/A</v>
      </c>
      <c r="Y395" s="2" t="e">
        <f t="shared" si="220"/>
        <v>#N/A</v>
      </c>
      <c r="AA395" s="2" t="e">
        <f t="shared" si="221"/>
        <v>#N/A</v>
      </c>
      <c r="AB395" s="2" t="e">
        <f t="shared" si="222"/>
        <v>#N/A</v>
      </c>
      <c r="BB395" s="5"/>
      <c r="BC395" s="5"/>
      <c r="BD395" s="5"/>
      <c r="BE395" s="5"/>
      <c r="BF395" s="5"/>
      <c r="BG395" s="5"/>
      <c r="BH395" s="5"/>
    </row>
    <row r="396" spans="1:60" s="2" customFormat="1">
      <c r="A396" s="70">
        <v>330</v>
      </c>
      <c r="C396" s="2" t="e">
        <f t="shared" si="205"/>
        <v>#N/A</v>
      </c>
      <c r="D396" s="2" t="e">
        <f t="shared" si="206"/>
        <v>#N/A</v>
      </c>
      <c r="F396" s="2" t="e">
        <f t="shared" si="207"/>
        <v>#N/A</v>
      </c>
      <c r="G396" s="2" t="e">
        <f t="shared" si="208"/>
        <v>#N/A</v>
      </c>
      <c r="I396" s="2" t="e">
        <f t="shared" si="209"/>
        <v>#N/A</v>
      </c>
      <c r="J396" s="2" t="e">
        <f t="shared" si="210"/>
        <v>#N/A</v>
      </c>
      <c r="L396" s="2" t="e">
        <f t="shared" si="211"/>
        <v>#N/A</v>
      </c>
      <c r="M396" s="2" t="e">
        <f t="shared" si="212"/>
        <v>#N/A</v>
      </c>
      <c r="O396" s="2" t="e">
        <f t="shared" si="213"/>
        <v>#N/A</v>
      </c>
      <c r="P396" s="2" t="e">
        <f t="shared" si="214"/>
        <v>#N/A</v>
      </c>
      <c r="R396" s="2" t="e">
        <f t="shared" si="215"/>
        <v>#N/A</v>
      </c>
      <c r="S396" s="2" t="e">
        <f t="shared" si="216"/>
        <v>#N/A</v>
      </c>
      <c r="U396" s="2" t="e">
        <f t="shared" si="217"/>
        <v>#N/A</v>
      </c>
      <c r="V396" s="2" t="e">
        <f t="shared" si="218"/>
        <v>#N/A</v>
      </c>
      <c r="X396" s="2" t="e">
        <f t="shared" si="219"/>
        <v>#N/A</v>
      </c>
      <c r="Y396" s="2" t="e">
        <f t="shared" si="220"/>
        <v>#N/A</v>
      </c>
      <c r="AA396" s="2" t="e">
        <f t="shared" si="221"/>
        <v>#N/A</v>
      </c>
      <c r="AB396" s="2" t="e">
        <f t="shared" si="222"/>
        <v>#N/A</v>
      </c>
      <c r="BB396" s="5"/>
      <c r="BC396" s="5"/>
      <c r="BD396" s="5"/>
      <c r="BE396" s="5"/>
      <c r="BF396" s="5"/>
      <c r="BG396" s="5"/>
      <c r="BH396" s="5"/>
    </row>
    <row r="397" spans="1:60" s="2" customFormat="1">
      <c r="A397" s="70">
        <v>345</v>
      </c>
      <c r="C397" s="2" t="e">
        <f t="shared" si="205"/>
        <v>#N/A</v>
      </c>
      <c r="D397" s="2" t="e">
        <f t="shared" si="206"/>
        <v>#N/A</v>
      </c>
      <c r="F397" s="2" t="e">
        <f t="shared" si="207"/>
        <v>#N/A</v>
      </c>
      <c r="G397" s="2" t="e">
        <f t="shared" si="208"/>
        <v>#N/A</v>
      </c>
      <c r="I397" s="2" t="e">
        <f t="shared" si="209"/>
        <v>#N/A</v>
      </c>
      <c r="J397" s="2" t="e">
        <f t="shared" si="210"/>
        <v>#N/A</v>
      </c>
      <c r="L397" s="2" t="e">
        <f t="shared" si="211"/>
        <v>#N/A</v>
      </c>
      <c r="M397" s="2" t="e">
        <f t="shared" si="212"/>
        <v>#N/A</v>
      </c>
      <c r="O397" s="2" t="e">
        <f t="shared" si="213"/>
        <v>#N/A</v>
      </c>
      <c r="P397" s="2" t="e">
        <f t="shared" si="214"/>
        <v>#N/A</v>
      </c>
      <c r="R397" s="2" t="e">
        <f t="shared" si="215"/>
        <v>#N/A</v>
      </c>
      <c r="S397" s="2" t="e">
        <f t="shared" si="216"/>
        <v>#N/A</v>
      </c>
      <c r="U397" s="2" t="e">
        <f t="shared" si="217"/>
        <v>#N/A</v>
      </c>
      <c r="V397" s="2" t="e">
        <f t="shared" si="218"/>
        <v>#N/A</v>
      </c>
      <c r="X397" s="2" t="e">
        <f t="shared" si="219"/>
        <v>#N/A</v>
      </c>
      <c r="Y397" s="2" t="e">
        <f t="shared" si="220"/>
        <v>#N/A</v>
      </c>
      <c r="AA397" s="2" t="e">
        <f t="shared" si="221"/>
        <v>#N/A</v>
      </c>
      <c r="AB397" s="2" t="e">
        <f t="shared" si="222"/>
        <v>#N/A</v>
      </c>
      <c r="BB397" s="5"/>
      <c r="BC397" s="5"/>
      <c r="BD397" s="5"/>
      <c r="BE397" s="5"/>
      <c r="BF397" s="5"/>
      <c r="BG397" s="5"/>
      <c r="BH397" s="5"/>
    </row>
    <row r="398" spans="1:60" s="2" customFormat="1">
      <c r="A398" s="70">
        <v>360</v>
      </c>
      <c r="C398" s="2" t="e">
        <f t="shared" si="205"/>
        <v>#N/A</v>
      </c>
      <c r="D398" s="2" t="e">
        <f t="shared" si="206"/>
        <v>#N/A</v>
      </c>
      <c r="F398" s="2" t="e">
        <f t="shared" si="207"/>
        <v>#N/A</v>
      </c>
      <c r="G398" s="2" t="e">
        <f t="shared" si="208"/>
        <v>#N/A</v>
      </c>
      <c r="I398" s="2" t="e">
        <f t="shared" si="209"/>
        <v>#N/A</v>
      </c>
      <c r="J398" s="2" t="e">
        <f t="shared" si="210"/>
        <v>#N/A</v>
      </c>
      <c r="L398" s="2" t="e">
        <f t="shared" si="211"/>
        <v>#N/A</v>
      </c>
      <c r="M398" s="2" t="e">
        <f t="shared" si="212"/>
        <v>#N/A</v>
      </c>
      <c r="O398" s="2" t="e">
        <f t="shared" si="213"/>
        <v>#N/A</v>
      </c>
      <c r="P398" s="2" t="e">
        <f t="shared" si="214"/>
        <v>#N/A</v>
      </c>
      <c r="R398" s="2" t="e">
        <f t="shared" si="215"/>
        <v>#N/A</v>
      </c>
      <c r="S398" s="2" t="e">
        <f t="shared" si="216"/>
        <v>#N/A</v>
      </c>
      <c r="U398" s="2" t="e">
        <f t="shared" si="217"/>
        <v>#N/A</v>
      </c>
      <c r="V398" s="2" t="e">
        <f t="shared" si="218"/>
        <v>#N/A</v>
      </c>
      <c r="X398" s="2" t="e">
        <f t="shared" si="219"/>
        <v>#N/A</v>
      </c>
      <c r="Y398" s="2" t="e">
        <f t="shared" si="220"/>
        <v>#N/A</v>
      </c>
      <c r="AA398" s="2" t="e">
        <f t="shared" si="221"/>
        <v>#N/A</v>
      </c>
      <c r="AB398" s="2" t="e">
        <f t="shared" si="222"/>
        <v>#N/A</v>
      </c>
      <c r="BB398" s="5"/>
      <c r="BC398" s="5"/>
      <c r="BD398" s="5"/>
      <c r="BE398" s="5"/>
      <c r="BF398" s="5"/>
      <c r="BG398" s="5"/>
      <c r="BH398" s="5"/>
    </row>
    <row r="399" spans="1:60" s="2" customFormat="1">
      <c r="A399" s="70"/>
      <c r="BB399" s="5"/>
      <c r="BC399" s="5"/>
      <c r="BD399" s="5"/>
      <c r="BE399" s="5"/>
      <c r="BF399" s="5"/>
      <c r="BG399" s="5"/>
      <c r="BH399" s="5"/>
    </row>
    <row r="400" spans="1:60" s="2" customFormat="1">
      <c r="A400" s="70">
        <v>0</v>
      </c>
      <c r="B400" s="2">
        <v>4</v>
      </c>
      <c r="C400" s="2" t="e">
        <f t="shared" ref="C400:C424" si="223">IF(AND(AG$3,C$564&gt;0),(E$17+1)*COS($A400*PI()/180)+C$564,NA())</f>
        <v>#N/A</v>
      </c>
      <c r="D400" s="2" t="e">
        <f t="shared" ref="D400:D424" si="224">IF(AND(AG$3,C$564&gt;0),(E$17+1)*SIN($A400*PI()/180)+E$12,NA())</f>
        <v>#N/A</v>
      </c>
      <c r="F400" s="2" t="e">
        <f t="shared" ref="F400:F424" si="225">IF(AND(AH$3,F$564&gt;0),(H$17+1)*COS($A400*PI()/180)+F$564,NA())</f>
        <v>#N/A</v>
      </c>
      <c r="G400" s="2" t="e">
        <f t="shared" ref="G400:G424" si="226">IF(AND(AH$3,F$564&gt;0),(H$17+1)*SIN($A400*PI()/180)+H$12,NA())</f>
        <v>#N/A</v>
      </c>
      <c r="I400" s="2" t="e">
        <f t="shared" ref="I400:I424" si="227">IF(AND(AI$3,I$564&gt;0),(K$17+1)*COS($A400*PI()/180)+I$564,NA())</f>
        <v>#N/A</v>
      </c>
      <c r="J400" s="2" t="e">
        <f t="shared" ref="J400:J424" si="228">IF(AND(AI$3,I$564&gt;0),(K$17+1)*SIN($A400*PI()/180)+K$12,NA())</f>
        <v>#N/A</v>
      </c>
      <c r="L400" s="2" t="e">
        <f t="shared" ref="L400:L424" si="229">IF(AND(AJ$3,L$564&gt;0),(N$17+1)*COS($A400*PI()/180)+L$564,NA())</f>
        <v>#N/A</v>
      </c>
      <c r="M400" s="2" t="e">
        <f t="shared" ref="M400:M424" si="230">IF(AND(AJ$3,L$564&gt;0),(N$17+1)*SIN($A400*PI()/180)+N$12,NA())</f>
        <v>#N/A</v>
      </c>
      <c r="O400" s="2" t="e">
        <f t="shared" ref="O400:O424" si="231">IF(AND(AK$3,O$564&gt;0),(Q$17+1)*COS($A400*PI()/180)+O$564,NA())</f>
        <v>#N/A</v>
      </c>
      <c r="P400" s="2" t="e">
        <f t="shared" ref="P400:P424" si="232">IF(AND(AK$3,O$564&gt;0),(Q$17+1)*SIN($A400*PI()/180)+Q$12,NA())</f>
        <v>#N/A</v>
      </c>
      <c r="R400" s="2" t="e">
        <f t="shared" ref="R400:R424" si="233">IF(AND(AL$3,R$564&gt;0),(T$17+1)*COS($A400*PI()/180)+R$564,NA())</f>
        <v>#N/A</v>
      </c>
      <c r="S400" s="2" t="e">
        <f t="shared" ref="S400:S424" si="234">IF(AND(AL$3,R$564&gt;0),(T$17+1)*SIN($A400*PI()/180)+T$12,NA())</f>
        <v>#N/A</v>
      </c>
      <c r="U400" s="2" t="e">
        <f t="shared" ref="U400:U424" si="235">IF(AND(AM$3,U$564&gt;0),(W$17+1)*COS($A400*PI()/180)+U$564,NA())</f>
        <v>#N/A</v>
      </c>
      <c r="V400" s="2" t="e">
        <f t="shared" ref="V400:V424" si="236">IF(AND(AM$3,U$564&gt;0),(W$17+1)*SIN($A400*PI()/180)+W$12,NA())</f>
        <v>#N/A</v>
      </c>
      <c r="X400" s="2" t="e">
        <f t="shared" ref="X400:X424" si="237">IF(AND(AN$3,X$564&gt;0),(Z$17+1)*COS($A400*PI()/180)+X$564,NA())</f>
        <v>#N/A</v>
      </c>
      <c r="Y400" s="2" t="e">
        <f t="shared" ref="Y400:Y424" si="238">IF(AND(AN$3,X$564&gt;0),(Z$17+1)*SIN($A400*PI()/180)+Z$12,NA())</f>
        <v>#N/A</v>
      </c>
      <c r="AA400" s="2" t="e">
        <f t="shared" ref="AA400:AA424" si="239">IF(AND(AO$3,AA$564&gt;0),(AC$17+1)*COS($A400*PI()/180)+AA$564,NA())</f>
        <v>#N/A</v>
      </c>
      <c r="AB400" s="2" t="e">
        <f t="shared" ref="AB400:AB424" si="240">IF(AND(AO$3,AA$564&gt;0),(AC$17+1)*SIN($A400*PI()/180)+AC$12,NA())</f>
        <v>#N/A</v>
      </c>
      <c r="BB400" s="5"/>
      <c r="BC400" s="5"/>
      <c r="BD400" s="5"/>
      <c r="BE400" s="5"/>
      <c r="BF400" s="5"/>
      <c r="BG400" s="5"/>
      <c r="BH400" s="5"/>
    </row>
    <row r="401" spans="1:60" s="2" customFormat="1">
      <c r="A401" s="70">
        <v>15</v>
      </c>
      <c r="C401" s="2" t="e">
        <f t="shared" si="223"/>
        <v>#N/A</v>
      </c>
      <c r="D401" s="2" t="e">
        <f t="shared" si="224"/>
        <v>#N/A</v>
      </c>
      <c r="F401" s="2" t="e">
        <f t="shared" si="225"/>
        <v>#N/A</v>
      </c>
      <c r="G401" s="2" t="e">
        <f t="shared" si="226"/>
        <v>#N/A</v>
      </c>
      <c r="I401" s="2" t="e">
        <f t="shared" si="227"/>
        <v>#N/A</v>
      </c>
      <c r="J401" s="2" t="e">
        <f t="shared" si="228"/>
        <v>#N/A</v>
      </c>
      <c r="L401" s="2" t="e">
        <f t="shared" si="229"/>
        <v>#N/A</v>
      </c>
      <c r="M401" s="2" t="e">
        <f t="shared" si="230"/>
        <v>#N/A</v>
      </c>
      <c r="O401" s="2" t="e">
        <f t="shared" si="231"/>
        <v>#N/A</v>
      </c>
      <c r="P401" s="2" t="e">
        <f t="shared" si="232"/>
        <v>#N/A</v>
      </c>
      <c r="R401" s="2" t="e">
        <f t="shared" si="233"/>
        <v>#N/A</v>
      </c>
      <c r="S401" s="2" t="e">
        <f t="shared" si="234"/>
        <v>#N/A</v>
      </c>
      <c r="U401" s="2" t="e">
        <f t="shared" si="235"/>
        <v>#N/A</v>
      </c>
      <c r="V401" s="2" t="e">
        <f t="shared" si="236"/>
        <v>#N/A</v>
      </c>
      <c r="X401" s="2" t="e">
        <f t="shared" si="237"/>
        <v>#N/A</v>
      </c>
      <c r="Y401" s="2" t="e">
        <f t="shared" si="238"/>
        <v>#N/A</v>
      </c>
      <c r="AA401" s="2" t="e">
        <f t="shared" si="239"/>
        <v>#N/A</v>
      </c>
      <c r="AB401" s="2" t="e">
        <f t="shared" si="240"/>
        <v>#N/A</v>
      </c>
      <c r="BB401" s="5"/>
      <c r="BC401" s="5"/>
      <c r="BD401" s="5"/>
      <c r="BE401" s="5"/>
      <c r="BF401" s="5"/>
      <c r="BG401" s="5"/>
      <c r="BH401" s="5"/>
    </row>
    <row r="402" spans="1:60" s="2" customFormat="1">
      <c r="A402" s="70">
        <v>30</v>
      </c>
      <c r="C402" s="2" t="e">
        <f t="shared" si="223"/>
        <v>#N/A</v>
      </c>
      <c r="D402" s="2" t="e">
        <f t="shared" si="224"/>
        <v>#N/A</v>
      </c>
      <c r="F402" s="2" t="e">
        <f t="shared" si="225"/>
        <v>#N/A</v>
      </c>
      <c r="G402" s="2" t="e">
        <f t="shared" si="226"/>
        <v>#N/A</v>
      </c>
      <c r="I402" s="2" t="e">
        <f t="shared" si="227"/>
        <v>#N/A</v>
      </c>
      <c r="J402" s="2" t="e">
        <f t="shared" si="228"/>
        <v>#N/A</v>
      </c>
      <c r="L402" s="2" t="e">
        <f t="shared" si="229"/>
        <v>#N/A</v>
      </c>
      <c r="M402" s="2" t="e">
        <f t="shared" si="230"/>
        <v>#N/A</v>
      </c>
      <c r="O402" s="2" t="e">
        <f t="shared" si="231"/>
        <v>#N/A</v>
      </c>
      <c r="P402" s="2" t="e">
        <f t="shared" si="232"/>
        <v>#N/A</v>
      </c>
      <c r="R402" s="2" t="e">
        <f t="shared" si="233"/>
        <v>#N/A</v>
      </c>
      <c r="S402" s="2" t="e">
        <f t="shared" si="234"/>
        <v>#N/A</v>
      </c>
      <c r="U402" s="2" t="e">
        <f t="shared" si="235"/>
        <v>#N/A</v>
      </c>
      <c r="V402" s="2" t="e">
        <f t="shared" si="236"/>
        <v>#N/A</v>
      </c>
      <c r="X402" s="2" t="e">
        <f t="shared" si="237"/>
        <v>#N/A</v>
      </c>
      <c r="Y402" s="2" t="e">
        <f t="shared" si="238"/>
        <v>#N/A</v>
      </c>
      <c r="AA402" s="2" t="e">
        <f t="shared" si="239"/>
        <v>#N/A</v>
      </c>
      <c r="AB402" s="2" t="e">
        <f t="shared" si="240"/>
        <v>#N/A</v>
      </c>
      <c r="BB402" s="5"/>
      <c r="BC402" s="5"/>
      <c r="BD402" s="5"/>
      <c r="BE402" s="5"/>
      <c r="BF402" s="5"/>
      <c r="BG402" s="5"/>
      <c r="BH402" s="5"/>
    </row>
    <row r="403" spans="1:60" s="2" customFormat="1">
      <c r="A403" s="70">
        <v>45</v>
      </c>
      <c r="C403" s="2" t="e">
        <f t="shared" si="223"/>
        <v>#N/A</v>
      </c>
      <c r="D403" s="2" t="e">
        <f t="shared" si="224"/>
        <v>#N/A</v>
      </c>
      <c r="F403" s="2" t="e">
        <f t="shared" si="225"/>
        <v>#N/A</v>
      </c>
      <c r="G403" s="2" t="e">
        <f t="shared" si="226"/>
        <v>#N/A</v>
      </c>
      <c r="I403" s="2" t="e">
        <f t="shared" si="227"/>
        <v>#N/A</v>
      </c>
      <c r="J403" s="2" t="e">
        <f t="shared" si="228"/>
        <v>#N/A</v>
      </c>
      <c r="L403" s="2" t="e">
        <f t="shared" si="229"/>
        <v>#N/A</v>
      </c>
      <c r="M403" s="2" t="e">
        <f t="shared" si="230"/>
        <v>#N/A</v>
      </c>
      <c r="O403" s="2" t="e">
        <f t="shared" si="231"/>
        <v>#N/A</v>
      </c>
      <c r="P403" s="2" t="e">
        <f t="shared" si="232"/>
        <v>#N/A</v>
      </c>
      <c r="R403" s="2" t="e">
        <f t="shared" si="233"/>
        <v>#N/A</v>
      </c>
      <c r="S403" s="2" t="e">
        <f t="shared" si="234"/>
        <v>#N/A</v>
      </c>
      <c r="U403" s="2" t="e">
        <f t="shared" si="235"/>
        <v>#N/A</v>
      </c>
      <c r="V403" s="2" t="e">
        <f t="shared" si="236"/>
        <v>#N/A</v>
      </c>
      <c r="X403" s="2" t="e">
        <f t="shared" si="237"/>
        <v>#N/A</v>
      </c>
      <c r="Y403" s="2" t="e">
        <f t="shared" si="238"/>
        <v>#N/A</v>
      </c>
      <c r="AA403" s="2" t="e">
        <f t="shared" si="239"/>
        <v>#N/A</v>
      </c>
      <c r="AB403" s="2" t="e">
        <f t="shared" si="240"/>
        <v>#N/A</v>
      </c>
      <c r="BB403" s="5"/>
      <c r="BC403" s="5"/>
      <c r="BD403" s="5"/>
      <c r="BE403" s="5"/>
      <c r="BF403" s="5"/>
      <c r="BG403" s="5"/>
      <c r="BH403" s="5"/>
    </row>
    <row r="404" spans="1:60" s="2" customFormat="1">
      <c r="A404" s="70">
        <v>60</v>
      </c>
      <c r="C404" s="2" t="e">
        <f t="shared" si="223"/>
        <v>#N/A</v>
      </c>
      <c r="D404" s="2" t="e">
        <f t="shared" si="224"/>
        <v>#N/A</v>
      </c>
      <c r="F404" s="2" t="e">
        <f t="shared" si="225"/>
        <v>#N/A</v>
      </c>
      <c r="G404" s="2" t="e">
        <f t="shared" si="226"/>
        <v>#N/A</v>
      </c>
      <c r="I404" s="2" t="e">
        <f t="shared" si="227"/>
        <v>#N/A</v>
      </c>
      <c r="J404" s="2" t="e">
        <f t="shared" si="228"/>
        <v>#N/A</v>
      </c>
      <c r="L404" s="2" t="e">
        <f t="shared" si="229"/>
        <v>#N/A</v>
      </c>
      <c r="M404" s="2" t="e">
        <f t="shared" si="230"/>
        <v>#N/A</v>
      </c>
      <c r="O404" s="2" t="e">
        <f t="shared" si="231"/>
        <v>#N/A</v>
      </c>
      <c r="P404" s="2" t="e">
        <f t="shared" si="232"/>
        <v>#N/A</v>
      </c>
      <c r="R404" s="2" t="e">
        <f t="shared" si="233"/>
        <v>#N/A</v>
      </c>
      <c r="S404" s="2" t="e">
        <f t="shared" si="234"/>
        <v>#N/A</v>
      </c>
      <c r="U404" s="2" t="e">
        <f t="shared" si="235"/>
        <v>#N/A</v>
      </c>
      <c r="V404" s="2" t="e">
        <f t="shared" si="236"/>
        <v>#N/A</v>
      </c>
      <c r="X404" s="2" t="e">
        <f t="shared" si="237"/>
        <v>#N/A</v>
      </c>
      <c r="Y404" s="2" t="e">
        <f t="shared" si="238"/>
        <v>#N/A</v>
      </c>
      <c r="AA404" s="2" t="e">
        <f t="shared" si="239"/>
        <v>#N/A</v>
      </c>
      <c r="AB404" s="2" t="e">
        <f t="shared" si="240"/>
        <v>#N/A</v>
      </c>
      <c r="BB404" s="5"/>
      <c r="BC404" s="5"/>
      <c r="BD404" s="5"/>
      <c r="BE404" s="5"/>
      <c r="BF404" s="5"/>
      <c r="BG404" s="5"/>
      <c r="BH404" s="5"/>
    </row>
    <row r="405" spans="1:60" s="2" customFormat="1">
      <c r="A405" s="70">
        <v>75</v>
      </c>
      <c r="C405" s="2" t="e">
        <f t="shared" si="223"/>
        <v>#N/A</v>
      </c>
      <c r="D405" s="2" t="e">
        <f t="shared" si="224"/>
        <v>#N/A</v>
      </c>
      <c r="F405" s="2" t="e">
        <f t="shared" si="225"/>
        <v>#N/A</v>
      </c>
      <c r="G405" s="2" t="e">
        <f t="shared" si="226"/>
        <v>#N/A</v>
      </c>
      <c r="I405" s="2" t="e">
        <f t="shared" si="227"/>
        <v>#N/A</v>
      </c>
      <c r="J405" s="2" t="e">
        <f t="shared" si="228"/>
        <v>#N/A</v>
      </c>
      <c r="L405" s="2" t="e">
        <f t="shared" si="229"/>
        <v>#N/A</v>
      </c>
      <c r="M405" s="2" t="e">
        <f t="shared" si="230"/>
        <v>#N/A</v>
      </c>
      <c r="O405" s="2" t="e">
        <f t="shared" si="231"/>
        <v>#N/A</v>
      </c>
      <c r="P405" s="2" t="e">
        <f t="shared" si="232"/>
        <v>#N/A</v>
      </c>
      <c r="R405" s="2" t="e">
        <f t="shared" si="233"/>
        <v>#N/A</v>
      </c>
      <c r="S405" s="2" t="e">
        <f t="shared" si="234"/>
        <v>#N/A</v>
      </c>
      <c r="U405" s="2" t="e">
        <f t="shared" si="235"/>
        <v>#N/A</v>
      </c>
      <c r="V405" s="2" t="e">
        <f t="shared" si="236"/>
        <v>#N/A</v>
      </c>
      <c r="X405" s="2" t="e">
        <f t="shared" si="237"/>
        <v>#N/A</v>
      </c>
      <c r="Y405" s="2" t="e">
        <f t="shared" si="238"/>
        <v>#N/A</v>
      </c>
      <c r="AA405" s="2" t="e">
        <f t="shared" si="239"/>
        <v>#N/A</v>
      </c>
      <c r="AB405" s="2" t="e">
        <f t="shared" si="240"/>
        <v>#N/A</v>
      </c>
      <c r="BB405" s="5"/>
      <c r="BC405" s="5"/>
      <c r="BD405" s="5"/>
      <c r="BE405" s="5"/>
      <c r="BF405" s="5"/>
      <c r="BG405" s="5"/>
      <c r="BH405" s="5"/>
    </row>
    <row r="406" spans="1:60" s="2" customFormat="1">
      <c r="A406" s="70">
        <v>90</v>
      </c>
      <c r="C406" s="2" t="e">
        <f t="shared" si="223"/>
        <v>#N/A</v>
      </c>
      <c r="D406" s="2" t="e">
        <f t="shared" si="224"/>
        <v>#N/A</v>
      </c>
      <c r="F406" s="2" t="e">
        <f t="shared" si="225"/>
        <v>#N/A</v>
      </c>
      <c r="G406" s="2" t="e">
        <f t="shared" si="226"/>
        <v>#N/A</v>
      </c>
      <c r="I406" s="2" t="e">
        <f t="shared" si="227"/>
        <v>#N/A</v>
      </c>
      <c r="J406" s="2" t="e">
        <f t="shared" si="228"/>
        <v>#N/A</v>
      </c>
      <c r="L406" s="2" t="e">
        <f t="shared" si="229"/>
        <v>#N/A</v>
      </c>
      <c r="M406" s="2" t="e">
        <f t="shared" si="230"/>
        <v>#N/A</v>
      </c>
      <c r="O406" s="2" t="e">
        <f t="shared" si="231"/>
        <v>#N/A</v>
      </c>
      <c r="P406" s="2" t="e">
        <f t="shared" si="232"/>
        <v>#N/A</v>
      </c>
      <c r="R406" s="2" t="e">
        <f t="shared" si="233"/>
        <v>#N/A</v>
      </c>
      <c r="S406" s="2" t="e">
        <f t="shared" si="234"/>
        <v>#N/A</v>
      </c>
      <c r="U406" s="2" t="e">
        <f t="shared" si="235"/>
        <v>#N/A</v>
      </c>
      <c r="V406" s="2" t="e">
        <f t="shared" si="236"/>
        <v>#N/A</v>
      </c>
      <c r="X406" s="2" t="e">
        <f t="shared" si="237"/>
        <v>#N/A</v>
      </c>
      <c r="Y406" s="2" t="e">
        <f t="shared" si="238"/>
        <v>#N/A</v>
      </c>
      <c r="AA406" s="2" t="e">
        <f t="shared" si="239"/>
        <v>#N/A</v>
      </c>
      <c r="AB406" s="2" t="e">
        <f t="shared" si="240"/>
        <v>#N/A</v>
      </c>
      <c r="BB406" s="5"/>
      <c r="BC406" s="5"/>
      <c r="BD406" s="5"/>
      <c r="BE406" s="5"/>
      <c r="BF406" s="5"/>
      <c r="BG406" s="5"/>
      <c r="BH406" s="5"/>
    </row>
    <row r="407" spans="1:60" s="2" customFormat="1">
      <c r="A407" s="70">
        <v>105</v>
      </c>
      <c r="C407" s="2" t="e">
        <f t="shared" si="223"/>
        <v>#N/A</v>
      </c>
      <c r="D407" s="2" t="e">
        <f t="shared" si="224"/>
        <v>#N/A</v>
      </c>
      <c r="F407" s="2" t="e">
        <f t="shared" si="225"/>
        <v>#N/A</v>
      </c>
      <c r="G407" s="2" t="e">
        <f t="shared" si="226"/>
        <v>#N/A</v>
      </c>
      <c r="I407" s="2" t="e">
        <f t="shared" si="227"/>
        <v>#N/A</v>
      </c>
      <c r="J407" s="2" t="e">
        <f t="shared" si="228"/>
        <v>#N/A</v>
      </c>
      <c r="L407" s="2" t="e">
        <f t="shared" si="229"/>
        <v>#N/A</v>
      </c>
      <c r="M407" s="2" t="e">
        <f t="shared" si="230"/>
        <v>#N/A</v>
      </c>
      <c r="O407" s="2" t="e">
        <f t="shared" si="231"/>
        <v>#N/A</v>
      </c>
      <c r="P407" s="2" t="e">
        <f t="shared" si="232"/>
        <v>#N/A</v>
      </c>
      <c r="R407" s="2" t="e">
        <f t="shared" si="233"/>
        <v>#N/A</v>
      </c>
      <c r="S407" s="2" t="e">
        <f t="shared" si="234"/>
        <v>#N/A</v>
      </c>
      <c r="U407" s="2" t="e">
        <f t="shared" si="235"/>
        <v>#N/A</v>
      </c>
      <c r="V407" s="2" t="e">
        <f t="shared" si="236"/>
        <v>#N/A</v>
      </c>
      <c r="X407" s="2" t="e">
        <f t="shared" si="237"/>
        <v>#N/A</v>
      </c>
      <c r="Y407" s="2" t="e">
        <f t="shared" si="238"/>
        <v>#N/A</v>
      </c>
      <c r="AA407" s="2" t="e">
        <f t="shared" si="239"/>
        <v>#N/A</v>
      </c>
      <c r="AB407" s="2" t="e">
        <f t="shared" si="240"/>
        <v>#N/A</v>
      </c>
      <c r="BB407" s="5"/>
      <c r="BC407" s="5"/>
      <c r="BD407" s="5"/>
      <c r="BE407" s="5"/>
      <c r="BF407" s="5"/>
      <c r="BG407" s="5"/>
      <c r="BH407" s="5"/>
    </row>
    <row r="408" spans="1:60" s="2" customFormat="1">
      <c r="A408" s="70">
        <v>120</v>
      </c>
      <c r="C408" s="2" t="e">
        <f t="shared" si="223"/>
        <v>#N/A</v>
      </c>
      <c r="D408" s="2" t="e">
        <f t="shared" si="224"/>
        <v>#N/A</v>
      </c>
      <c r="F408" s="2" t="e">
        <f t="shared" si="225"/>
        <v>#N/A</v>
      </c>
      <c r="G408" s="2" t="e">
        <f t="shared" si="226"/>
        <v>#N/A</v>
      </c>
      <c r="I408" s="2" t="e">
        <f t="shared" si="227"/>
        <v>#N/A</v>
      </c>
      <c r="J408" s="2" t="e">
        <f t="shared" si="228"/>
        <v>#N/A</v>
      </c>
      <c r="L408" s="2" t="e">
        <f t="shared" si="229"/>
        <v>#N/A</v>
      </c>
      <c r="M408" s="2" t="e">
        <f t="shared" si="230"/>
        <v>#N/A</v>
      </c>
      <c r="O408" s="2" t="e">
        <f t="shared" si="231"/>
        <v>#N/A</v>
      </c>
      <c r="P408" s="2" t="e">
        <f t="shared" si="232"/>
        <v>#N/A</v>
      </c>
      <c r="R408" s="2" t="e">
        <f t="shared" si="233"/>
        <v>#N/A</v>
      </c>
      <c r="S408" s="2" t="e">
        <f t="shared" si="234"/>
        <v>#N/A</v>
      </c>
      <c r="U408" s="2" t="e">
        <f t="shared" si="235"/>
        <v>#N/A</v>
      </c>
      <c r="V408" s="2" t="e">
        <f t="shared" si="236"/>
        <v>#N/A</v>
      </c>
      <c r="X408" s="2" t="e">
        <f t="shared" si="237"/>
        <v>#N/A</v>
      </c>
      <c r="Y408" s="2" t="e">
        <f t="shared" si="238"/>
        <v>#N/A</v>
      </c>
      <c r="AA408" s="2" t="e">
        <f t="shared" si="239"/>
        <v>#N/A</v>
      </c>
      <c r="AB408" s="2" t="e">
        <f t="shared" si="240"/>
        <v>#N/A</v>
      </c>
      <c r="BB408" s="5"/>
      <c r="BC408" s="5"/>
      <c r="BD408" s="5"/>
      <c r="BE408" s="5"/>
      <c r="BF408" s="5"/>
      <c r="BG408" s="5"/>
      <c r="BH408" s="5"/>
    </row>
    <row r="409" spans="1:60" s="2" customFormat="1">
      <c r="A409" s="70">
        <v>135</v>
      </c>
      <c r="C409" s="2" t="e">
        <f t="shared" si="223"/>
        <v>#N/A</v>
      </c>
      <c r="D409" s="2" t="e">
        <f t="shared" si="224"/>
        <v>#N/A</v>
      </c>
      <c r="F409" s="2" t="e">
        <f t="shared" si="225"/>
        <v>#N/A</v>
      </c>
      <c r="G409" s="2" t="e">
        <f t="shared" si="226"/>
        <v>#N/A</v>
      </c>
      <c r="I409" s="2" t="e">
        <f t="shared" si="227"/>
        <v>#N/A</v>
      </c>
      <c r="J409" s="2" t="e">
        <f t="shared" si="228"/>
        <v>#N/A</v>
      </c>
      <c r="L409" s="2" t="e">
        <f t="shared" si="229"/>
        <v>#N/A</v>
      </c>
      <c r="M409" s="2" t="e">
        <f t="shared" si="230"/>
        <v>#N/A</v>
      </c>
      <c r="O409" s="2" t="e">
        <f t="shared" si="231"/>
        <v>#N/A</v>
      </c>
      <c r="P409" s="2" t="e">
        <f t="shared" si="232"/>
        <v>#N/A</v>
      </c>
      <c r="R409" s="2" t="e">
        <f t="shared" si="233"/>
        <v>#N/A</v>
      </c>
      <c r="S409" s="2" t="e">
        <f t="shared" si="234"/>
        <v>#N/A</v>
      </c>
      <c r="U409" s="2" t="e">
        <f t="shared" si="235"/>
        <v>#N/A</v>
      </c>
      <c r="V409" s="2" t="e">
        <f t="shared" si="236"/>
        <v>#N/A</v>
      </c>
      <c r="X409" s="2" t="e">
        <f t="shared" si="237"/>
        <v>#N/A</v>
      </c>
      <c r="Y409" s="2" t="e">
        <f t="shared" si="238"/>
        <v>#N/A</v>
      </c>
      <c r="AA409" s="2" t="e">
        <f t="shared" si="239"/>
        <v>#N/A</v>
      </c>
      <c r="AB409" s="2" t="e">
        <f t="shared" si="240"/>
        <v>#N/A</v>
      </c>
      <c r="BB409" s="5"/>
      <c r="BC409" s="5"/>
      <c r="BD409" s="5"/>
      <c r="BE409" s="5"/>
      <c r="BF409" s="5"/>
      <c r="BG409" s="5"/>
      <c r="BH409" s="5"/>
    </row>
    <row r="410" spans="1:60" s="2" customFormat="1">
      <c r="A410" s="70">
        <v>150</v>
      </c>
      <c r="C410" s="2" t="e">
        <f t="shared" si="223"/>
        <v>#N/A</v>
      </c>
      <c r="D410" s="2" t="e">
        <f t="shared" si="224"/>
        <v>#N/A</v>
      </c>
      <c r="F410" s="2" t="e">
        <f t="shared" si="225"/>
        <v>#N/A</v>
      </c>
      <c r="G410" s="2" t="e">
        <f t="shared" si="226"/>
        <v>#N/A</v>
      </c>
      <c r="I410" s="2" t="e">
        <f t="shared" si="227"/>
        <v>#N/A</v>
      </c>
      <c r="J410" s="2" t="e">
        <f t="shared" si="228"/>
        <v>#N/A</v>
      </c>
      <c r="L410" s="2" t="e">
        <f t="shared" si="229"/>
        <v>#N/A</v>
      </c>
      <c r="M410" s="2" t="e">
        <f t="shared" si="230"/>
        <v>#N/A</v>
      </c>
      <c r="O410" s="2" t="e">
        <f t="shared" si="231"/>
        <v>#N/A</v>
      </c>
      <c r="P410" s="2" t="e">
        <f t="shared" si="232"/>
        <v>#N/A</v>
      </c>
      <c r="R410" s="2" t="e">
        <f t="shared" si="233"/>
        <v>#N/A</v>
      </c>
      <c r="S410" s="2" t="e">
        <f t="shared" si="234"/>
        <v>#N/A</v>
      </c>
      <c r="U410" s="2" t="e">
        <f t="shared" si="235"/>
        <v>#N/A</v>
      </c>
      <c r="V410" s="2" t="e">
        <f t="shared" si="236"/>
        <v>#N/A</v>
      </c>
      <c r="X410" s="2" t="e">
        <f t="shared" si="237"/>
        <v>#N/A</v>
      </c>
      <c r="Y410" s="2" t="e">
        <f t="shared" si="238"/>
        <v>#N/A</v>
      </c>
      <c r="AA410" s="2" t="e">
        <f t="shared" si="239"/>
        <v>#N/A</v>
      </c>
      <c r="AB410" s="2" t="e">
        <f t="shared" si="240"/>
        <v>#N/A</v>
      </c>
      <c r="BB410" s="5"/>
      <c r="BC410" s="5"/>
      <c r="BD410" s="5"/>
      <c r="BE410" s="5"/>
      <c r="BF410" s="5"/>
      <c r="BG410" s="5"/>
      <c r="BH410" s="5"/>
    </row>
    <row r="411" spans="1:60" s="2" customFormat="1">
      <c r="A411" s="70">
        <v>165</v>
      </c>
      <c r="C411" s="2" t="e">
        <f t="shared" si="223"/>
        <v>#N/A</v>
      </c>
      <c r="D411" s="2" t="e">
        <f t="shared" si="224"/>
        <v>#N/A</v>
      </c>
      <c r="F411" s="2" t="e">
        <f t="shared" si="225"/>
        <v>#N/A</v>
      </c>
      <c r="G411" s="2" t="e">
        <f t="shared" si="226"/>
        <v>#N/A</v>
      </c>
      <c r="I411" s="2" t="e">
        <f t="shared" si="227"/>
        <v>#N/A</v>
      </c>
      <c r="J411" s="2" t="e">
        <f t="shared" si="228"/>
        <v>#N/A</v>
      </c>
      <c r="L411" s="2" t="e">
        <f t="shared" si="229"/>
        <v>#N/A</v>
      </c>
      <c r="M411" s="2" t="e">
        <f t="shared" si="230"/>
        <v>#N/A</v>
      </c>
      <c r="O411" s="2" t="e">
        <f t="shared" si="231"/>
        <v>#N/A</v>
      </c>
      <c r="P411" s="2" t="e">
        <f t="shared" si="232"/>
        <v>#N/A</v>
      </c>
      <c r="R411" s="2" t="e">
        <f t="shared" si="233"/>
        <v>#N/A</v>
      </c>
      <c r="S411" s="2" t="e">
        <f t="shared" si="234"/>
        <v>#N/A</v>
      </c>
      <c r="U411" s="2" t="e">
        <f t="shared" si="235"/>
        <v>#N/A</v>
      </c>
      <c r="V411" s="2" t="e">
        <f t="shared" si="236"/>
        <v>#N/A</v>
      </c>
      <c r="X411" s="2" t="e">
        <f t="shared" si="237"/>
        <v>#N/A</v>
      </c>
      <c r="Y411" s="2" t="e">
        <f t="shared" si="238"/>
        <v>#N/A</v>
      </c>
      <c r="AA411" s="2" t="e">
        <f t="shared" si="239"/>
        <v>#N/A</v>
      </c>
      <c r="AB411" s="2" t="e">
        <f t="shared" si="240"/>
        <v>#N/A</v>
      </c>
      <c r="BB411" s="5"/>
      <c r="BC411" s="5"/>
      <c r="BD411" s="5"/>
      <c r="BE411" s="5"/>
      <c r="BF411" s="5"/>
      <c r="BG411" s="5"/>
      <c r="BH411" s="5"/>
    </row>
    <row r="412" spans="1:60" s="2" customFormat="1">
      <c r="A412" s="70">
        <v>180</v>
      </c>
      <c r="C412" s="2" t="e">
        <f t="shared" si="223"/>
        <v>#N/A</v>
      </c>
      <c r="D412" s="2" t="e">
        <f t="shared" si="224"/>
        <v>#N/A</v>
      </c>
      <c r="F412" s="2" t="e">
        <f t="shared" si="225"/>
        <v>#N/A</v>
      </c>
      <c r="G412" s="2" t="e">
        <f t="shared" si="226"/>
        <v>#N/A</v>
      </c>
      <c r="I412" s="2" t="e">
        <f t="shared" si="227"/>
        <v>#N/A</v>
      </c>
      <c r="J412" s="2" t="e">
        <f t="shared" si="228"/>
        <v>#N/A</v>
      </c>
      <c r="L412" s="2" t="e">
        <f t="shared" si="229"/>
        <v>#N/A</v>
      </c>
      <c r="M412" s="2" t="e">
        <f t="shared" si="230"/>
        <v>#N/A</v>
      </c>
      <c r="O412" s="2" t="e">
        <f t="shared" si="231"/>
        <v>#N/A</v>
      </c>
      <c r="P412" s="2" t="e">
        <f t="shared" si="232"/>
        <v>#N/A</v>
      </c>
      <c r="R412" s="2" t="e">
        <f t="shared" si="233"/>
        <v>#N/A</v>
      </c>
      <c r="S412" s="2" t="e">
        <f t="shared" si="234"/>
        <v>#N/A</v>
      </c>
      <c r="U412" s="2" t="e">
        <f t="shared" si="235"/>
        <v>#N/A</v>
      </c>
      <c r="V412" s="2" t="e">
        <f t="shared" si="236"/>
        <v>#N/A</v>
      </c>
      <c r="X412" s="2" t="e">
        <f t="shared" si="237"/>
        <v>#N/A</v>
      </c>
      <c r="Y412" s="2" t="e">
        <f t="shared" si="238"/>
        <v>#N/A</v>
      </c>
      <c r="AA412" s="2" t="e">
        <f t="shared" si="239"/>
        <v>#N/A</v>
      </c>
      <c r="AB412" s="2" t="e">
        <f t="shared" si="240"/>
        <v>#N/A</v>
      </c>
      <c r="BB412" s="5"/>
      <c r="BC412" s="5"/>
      <c r="BD412" s="5"/>
      <c r="BE412" s="5"/>
      <c r="BF412" s="5"/>
      <c r="BG412" s="5"/>
      <c r="BH412" s="5"/>
    </row>
    <row r="413" spans="1:60" s="2" customFormat="1">
      <c r="A413" s="70">
        <v>195</v>
      </c>
      <c r="C413" s="2" t="e">
        <f t="shared" si="223"/>
        <v>#N/A</v>
      </c>
      <c r="D413" s="2" t="e">
        <f t="shared" si="224"/>
        <v>#N/A</v>
      </c>
      <c r="F413" s="2" t="e">
        <f t="shared" si="225"/>
        <v>#N/A</v>
      </c>
      <c r="G413" s="2" t="e">
        <f t="shared" si="226"/>
        <v>#N/A</v>
      </c>
      <c r="I413" s="2" t="e">
        <f t="shared" si="227"/>
        <v>#N/A</v>
      </c>
      <c r="J413" s="2" t="e">
        <f t="shared" si="228"/>
        <v>#N/A</v>
      </c>
      <c r="L413" s="2" t="e">
        <f t="shared" si="229"/>
        <v>#N/A</v>
      </c>
      <c r="M413" s="2" t="e">
        <f t="shared" si="230"/>
        <v>#N/A</v>
      </c>
      <c r="O413" s="2" t="e">
        <f t="shared" si="231"/>
        <v>#N/A</v>
      </c>
      <c r="P413" s="2" t="e">
        <f t="shared" si="232"/>
        <v>#N/A</v>
      </c>
      <c r="R413" s="2" t="e">
        <f t="shared" si="233"/>
        <v>#N/A</v>
      </c>
      <c r="S413" s="2" t="e">
        <f t="shared" si="234"/>
        <v>#N/A</v>
      </c>
      <c r="U413" s="2" t="e">
        <f t="shared" si="235"/>
        <v>#N/A</v>
      </c>
      <c r="V413" s="2" t="e">
        <f t="shared" si="236"/>
        <v>#N/A</v>
      </c>
      <c r="X413" s="2" t="e">
        <f t="shared" si="237"/>
        <v>#N/A</v>
      </c>
      <c r="Y413" s="2" t="e">
        <f t="shared" si="238"/>
        <v>#N/A</v>
      </c>
      <c r="AA413" s="2" t="e">
        <f t="shared" si="239"/>
        <v>#N/A</v>
      </c>
      <c r="AB413" s="2" t="e">
        <f t="shared" si="240"/>
        <v>#N/A</v>
      </c>
      <c r="BB413" s="5"/>
      <c r="BC413" s="5"/>
      <c r="BD413" s="5"/>
      <c r="BE413" s="5"/>
      <c r="BF413" s="5"/>
      <c r="BG413" s="5"/>
      <c r="BH413" s="5"/>
    </row>
    <row r="414" spans="1:60" s="2" customFormat="1">
      <c r="A414" s="70">
        <v>210</v>
      </c>
      <c r="C414" s="2" t="e">
        <f t="shared" si="223"/>
        <v>#N/A</v>
      </c>
      <c r="D414" s="2" t="e">
        <f t="shared" si="224"/>
        <v>#N/A</v>
      </c>
      <c r="F414" s="2" t="e">
        <f t="shared" si="225"/>
        <v>#N/A</v>
      </c>
      <c r="G414" s="2" t="e">
        <f t="shared" si="226"/>
        <v>#N/A</v>
      </c>
      <c r="I414" s="2" t="e">
        <f t="shared" si="227"/>
        <v>#N/A</v>
      </c>
      <c r="J414" s="2" t="e">
        <f t="shared" si="228"/>
        <v>#N/A</v>
      </c>
      <c r="L414" s="2" t="e">
        <f t="shared" si="229"/>
        <v>#N/A</v>
      </c>
      <c r="M414" s="2" t="e">
        <f t="shared" si="230"/>
        <v>#N/A</v>
      </c>
      <c r="O414" s="2" t="e">
        <f t="shared" si="231"/>
        <v>#N/A</v>
      </c>
      <c r="P414" s="2" t="e">
        <f t="shared" si="232"/>
        <v>#N/A</v>
      </c>
      <c r="R414" s="2" t="e">
        <f t="shared" si="233"/>
        <v>#N/A</v>
      </c>
      <c r="S414" s="2" t="e">
        <f t="shared" si="234"/>
        <v>#N/A</v>
      </c>
      <c r="U414" s="2" t="e">
        <f t="shared" si="235"/>
        <v>#N/A</v>
      </c>
      <c r="V414" s="2" t="e">
        <f t="shared" si="236"/>
        <v>#N/A</v>
      </c>
      <c r="X414" s="2" t="e">
        <f t="shared" si="237"/>
        <v>#N/A</v>
      </c>
      <c r="Y414" s="2" t="e">
        <f t="shared" si="238"/>
        <v>#N/A</v>
      </c>
      <c r="AA414" s="2" t="e">
        <f t="shared" si="239"/>
        <v>#N/A</v>
      </c>
      <c r="AB414" s="2" t="e">
        <f t="shared" si="240"/>
        <v>#N/A</v>
      </c>
      <c r="BB414" s="5"/>
      <c r="BC414" s="5"/>
      <c r="BD414" s="5"/>
      <c r="BE414" s="5"/>
      <c r="BF414" s="5"/>
      <c r="BG414" s="5"/>
      <c r="BH414" s="5"/>
    </row>
    <row r="415" spans="1:60" s="2" customFormat="1">
      <c r="A415" s="70">
        <v>225</v>
      </c>
      <c r="C415" s="2" t="e">
        <f t="shared" si="223"/>
        <v>#N/A</v>
      </c>
      <c r="D415" s="2" t="e">
        <f t="shared" si="224"/>
        <v>#N/A</v>
      </c>
      <c r="F415" s="2" t="e">
        <f t="shared" si="225"/>
        <v>#N/A</v>
      </c>
      <c r="G415" s="2" t="e">
        <f t="shared" si="226"/>
        <v>#N/A</v>
      </c>
      <c r="I415" s="2" t="e">
        <f t="shared" si="227"/>
        <v>#N/A</v>
      </c>
      <c r="J415" s="2" t="e">
        <f t="shared" si="228"/>
        <v>#N/A</v>
      </c>
      <c r="L415" s="2" t="e">
        <f t="shared" si="229"/>
        <v>#N/A</v>
      </c>
      <c r="M415" s="2" t="e">
        <f t="shared" si="230"/>
        <v>#N/A</v>
      </c>
      <c r="O415" s="2" t="e">
        <f t="shared" si="231"/>
        <v>#N/A</v>
      </c>
      <c r="P415" s="2" t="e">
        <f t="shared" si="232"/>
        <v>#N/A</v>
      </c>
      <c r="R415" s="2" t="e">
        <f t="shared" si="233"/>
        <v>#N/A</v>
      </c>
      <c r="S415" s="2" t="e">
        <f t="shared" si="234"/>
        <v>#N/A</v>
      </c>
      <c r="U415" s="2" t="e">
        <f t="shared" si="235"/>
        <v>#N/A</v>
      </c>
      <c r="V415" s="2" t="e">
        <f t="shared" si="236"/>
        <v>#N/A</v>
      </c>
      <c r="X415" s="2" t="e">
        <f t="shared" si="237"/>
        <v>#N/A</v>
      </c>
      <c r="Y415" s="2" t="e">
        <f t="shared" si="238"/>
        <v>#N/A</v>
      </c>
      <c r="AA415" s="2" t="e">
        <f t="shared" si="239"/>
        <v>#N/A</v>
      </c>
      <c r="AB415" s="2" t="e">
        <f t="shared" si="240"/>
        <v>#N/A</v>
      </c>
      <c r="BB415" s="5"/>
      <c r="BC415" s="5"/>
      <c r="BD415" s="5"/>
      <c r="BE415" s="5"/>
      <c r="BF415" s="5"/>
      <c r="BG415" s="5"/>
      <c r="BH415" s="5"/>
    </row>
    <row r="416" spans="1:60" s="2" customFormat="1">
      <c r="A416" s="70">
        <v>240</v>
      </c>
      <c r="C416" s="2" t="e">
        <f t="shared" si="223"/>
        <v>#N/A</v>
      </c>
      <c r="D416" s="2" t="e">
        <f t="shared" si="224"/>
        <v>#N/A</v>
      </c>
      <c r="F416" s="2" t="e">
        <f t="shared" si="225"/>
        <v>#N/A</v>
      </c>
      <c r="G416" s="2" t="e">
        <f t="shared" si="226"/>
        <v>#N/A</v>
      </c>
      <c r="I416" s="2" t="e">
        <f t="shared" si="227"/>
        <v>#N/A</v>
      </c>
      <c r="J416" s="2" t="e">
        <f t="shared" si="228"/>
        <v>#N/A</v>
      </c>
      <c r="L416" s="2" t="e">
        <f t="shared" si="229"/>
        <v>#N/A</v>
      </c>
      <c r="M416" s="2" t="e">
        <f t="shared" si="230"/>
        <v>#N/A</v>
      </c>
      <c r="O416" s="2" t="e">
        <f t="shared" si="231"/>
        <v>#N/A</v>
      </c>
      <c r="P416" s="2" t="e">
        <f t="shared" si="232"/>
        <v>#N/A</v>
      </c>
      <c r="R416" s="2" t="e">
        <f t="shared" si="233"/>
        <v>#N/A</v>
      </c>
      <c r="S416" s="2" t="e">
        <f t="shared" si="234"/>
        <v>#N/A</v>
      </c>
      <c r="U416" s="2" t="e">
        <f t="shared" si="235"/>
        <v>#N/A</v>
      </c>
      <c r="V416" s="2" t="e">
        <f t="shared" si="236"/>
        <v>#N/A</v>
      </c>
      <c r="X416" s="2" t="e">
        <f t="shared" si="237"/>
        <v>#N/A</v>
      </c>
      <c r="Y416" s="2" t="e">
        <f t="shared" si="238"/>
        <v>#N/A</v>
      </c>
      <c r="AA416" s="2" t="e">
        <f t="shared" si="239"/>
        <v>#N/A</v>
      </c>
      <c r="AB416" s="2" t="e">
        <f t="shared" si="240"/>
        <v>#N/A</v>
      </c>
      <c r="BB416" s="5"/>
      <c r="BC416" s="5"/>
      <c r="BD416" s="5"/>
      <c r="BE416" s="5"/>
      <c r="BF416" s="5"/>
      <c r="BG416" s="5"/>
      <c r="BH416" s="5"/>
    </row>
    <row r="417" spans="1:60" s="2" customFormat="1">
      <c r="A417" s="70">
        <v>255</v>
      </c>
      <c r="C417" s="2" t="e">
        <f t="shared" si="223"/>
        <v>#N/A</v>
      </c>
      <c r="D417" s="2" t="e">
        <f t="shared" si="224"/>
        <v>#N/A</v>
      </c>
      <c r="F417" s="2" t="e">
        <f t="shared" si="225"/>
        <v>#N/A</v>
      </c>
      <c r="G417" s="2" t="e">
        <f t="shared" si="226"/>
        <v>#N/A</v>
      </c>
      <c r="I417" s="2" t="e">
        <f t="shared" si="227"/>
        <v>#N/A</v>
      </c>
      <c r="J417" s="2" t="e">
        <f t="shared" si="228"/>
        <v>#N/A</v>
      </c>
      <c r="L417" s="2" t="e">
        <f t="shared" si="229"/>
        <v>#N/A</v>
      </c>
      <c r="M417" s="2" t="e">
        <f t="shared" si="230"/>
        <v>#N/A</v>
      </c>
      <c r="O417" s="2" t="e">
        <f t="shared" si="231"/>
        <v>#N/A</v>
      </c>
      <c r="P417" s="2" t="e">
        <f t="shared" si="232"/>
        <v>#N/A</v>
      </c>
      <c r="R417" s="2" t="e">
        <f t="shared" si="233"/>
        <v>#N/A</v>
      </c>
      <c r="S417" s="2" t="e">
        <f t="shared" si="234"/>
        <v>#N/A</v>
      </c>
      <c r="U417" s="2" t="e">
        <f t="shared" si="235"/>
        <v>#N/A</v>
      </c>
      <c r="V417" s="2" t="e">
        <f t="shared" si="236"/>
        <v>#N/A</v>
      </c>
      <c r="X417" s="2" t="e">
        <f t="shared" si="237"/>
        <v>#N/A</v>
      </c>
      <c r="Y417" s="2" t="e">
        <f t="shared" si="238"/>
        <v>#N/A</v>
      </c>
      <c r="AA417" s="2" t="e">
        <f t="shared" si="239"/>
        <v>#N/A</v>
      </c>
      <c r="AB417" s="2" t="e">
        <f t="shared" si="240"/>
        <v>#N/A</v>
      </c>
      <c r="BB417" s="5"/>
      <c r="BC417" s="5"/>
      <c r="BD417" s="5"/>
      <c r="BE417" s="5"/>
      <c r="BF417" s="5"/>
      <c r="BG417" s="5"/>
      <c r="BH417" s="5"/>
    </row>
    <row r="418" spans="1:60" s="2" customFormat="1">
      <c r="A418" s="70">
        <v>270</v>
      </c>
      <c r="C418" s="2" t="e">
        <f t="shared" si="223"/>
        <v>#N/A</v>
      </c>
      <c r="D418" s="2" t="e">
        <f t="shared" si="224"/>
        <v>#N/A</v>
      </c>
      <c r="F418" s="2" t="e">
        <f t="shared" si="225"/>
        <v>#N/A</v>
      </c>
      <c r="G418" s="2" t="e">
        <f t="shared" si="226"/>
        <v>#N/A</v>
      </c>
      <c r="I418" s="2" t="e">
        <f t="shared" si="227"/>
        <v>#N/A</v>
      </c>
      <c r="J418" s="2" t="e">
        <f t="shared" si="228"/>
        <v>#N/A</v>
      </c>
      <c r="L418" s="2" t="e">
        <f t="shared" si="229"/>
        <v>#N/A</v>
      </c>
      <c r="M418" s="2" t="e">
        <f t="shared" si="230"/>
        <v>#N/A</v>
      </c>
      <c r="O418" s="2" t="e">
        <f t="shared" si="231"/>
        <v>#N/A</v>
      </c>
      <c r="P418" s="2" t="e">
        <f t="shared" si="232"/>
        <v>#N/A</v>
      </c>
      <c r="R418" s="2" t="e">
        <f t="shared" si="233"/>
        <v>#N/A</v>
      </c>
      <c r="S418" s="2" t="e">
        <f t="shared" si="234"/>
        <v>#N/A</v>
      </c>
      <c r="U418" s="2" t="e">
        <f t="shared" si="235"/>
        <v>#N/A</v>
      </c>
      <c r="V418" s="2" t="e">
        <f t="shared" si="236"/>
        <v>#N/A</v>
      </c>
      <c r="X418" s="2" t="e">
        <f t="shared" si="237"/>
        <v>#N/A</v>
      </c>
      <c r="Y418" s="2" t="e">
        <f t="shared" si="238"/>
        <v>#N/A</v>
      </c>
      <c r="AA418" s="2" t="e">
        <f t="shared" si="239"/>
        <v>#N/A</v>
      </c>
      <c r="AB418" s="2" t="e">
        <f t="shared" si="240"/>
        <v>#N/A</v>
      </c>
      <c r="BB418" s="5"/>
      <c r="BC418" s="5"/>
      <c r="BD418" s="5"/>
      <c r="BE418" s="5"/>
      <c r="BF418" s="5"/>
      <c r="BG418" s="5"/>
      <c r="BH418" s="5"/>
    </row>
    <row r="419" spans="1:60" s="2" customFormat="1">
      <c r="A419" s="70">
        <v>285</v>
      </c>
      <c r="C419" s="2" t="e">
        <f t="shared" si="223"/>
        <v>#N/A</v>
      </c>
      <c r="D419" s="2" t="e">
        <f t="shared" si="224"/>
        <v>#N/A</v>
      </c>
      <c r="F419" s="2" t="e">
        <f t="shared" si="225"/>
        <v>#N/A</v>
      </c>
      <c r="G419" s="2" t="e">
        <f t="shared" si="226"/>
        <v>#N/A</v>
      </c>
      <c r="I419" s="2" t="e">
        <f t="shared" si="227"/>
        <v>#N/A</v>
      </c>
      <c r="J419" s="2" t="e">
        <f t="shared" si="228"/>
        <v>#N/A</v>
      </c>
      <c r="L419" s="2" t="e">
        <f t="shared" si="229"/>
        <v>#N/A</v>
      </c>
      <c r="M419" s="2" t="e">
        <f t="shared" si="230"/>
        <v>#N/A</v>
      </c>
      <c r="O419" s="2" t="e">
        <f t="shared" si="231"/>
        <v>#N/A</v>
      </c>
      <c r="P419" s="2" t="e">
        <f t="shared" si="232"/>
        <v>#N/A</v>
      </c>
      <c r="R419" s="2" t="e">
        <f t="shared" si="233"/>
        <v>#N/A</v>
      </c>
      <c r="S419" s="2" t="e">
        <f t="shared" si="234"/>
        <v>#N/A</v>
      </c>
      <c r="U419" s="2" t="e">
        <f t="shared" si="235"/>
        <v>#N/A</v>
      </c>
      <c r="V419" s="2" t="e">
        <f t="shared" si="236"/>
        <v>#N/A</v>
      </c>
      <c r="X419" s="2" t="e">
        <f t="shared" si="237"/>
        <v>#N/A</v>
      </c>
      <c r="Y419" s="2" t="e">
        <f t="shared" si="238"/>
        <v>#N/A</v>
      </c>
      <c r="AA419" s="2" t="e">
        <f t="shared" si="239"/>
        <v>#N/A</v>
      </c>
      <c r="AB419" s="2" t="e">
        <f t="shared" si="240"/>
        <v>#N/A</v>
      </c>
      <c r="BB419" s="5"/>
      <c r="BC419" s="5"/>
      <c r="BD419" s="5"/>
      <c r="BE419" s="5"/>
      <c r="BF419" s="5"/>
      <c r="BG419" s="5"/>
      <c r="BH419" s="5"/>
    </row>
    <row r="420" spans="1:60" s="2" customFormat="1">
      <c r="A420" s="70">
        <v>300</v>
      </c>
      <c r="C420" s="2" t="e">
        <f t="shared" si="223"/>
        <v>#N/A</v>
      </c>
      <c r="D420" s="2" t="e">
        <f t="shared" si="224"/>
        <v>#N/A</v>
      </c>
      <c r="F420" s="2" t="e">
        <f t="shared" si="225"/>
        <v>#N/A</v>
      </c>
      <c r="G420" s="2" t="e">
        <f t="shared" si="226"/>
        <v>#N/A</v>
      </c>
      <c r="I420" s="2" t="e">
        <f t="shared" si="227"/>
        <v>#N/A</v>
      </c>
      <c r="J420" s="2" t="e">
        <f t="shared" si="228"/>
        <v>#N/A</v>
      </c>
      <c r="L420" s="2" t="e">
        <f t="shared" si="229"/>
        <v>#N/A</v>
      </c>
      <c r="M420" s="2" t="e">
        <f t="shared" si="230"/>
        <v>#N/A</v>
      </c>
      <c r="O420" s="2" t="e">
        <f t="shared" si="231"/>
        <v>#N/A</v>
      </c>
      <c r="P420" s="2" t="e">
        <f t="shared" si="232"/>
        <v>#N/A</v>
      </c>
      <c r="R420" s="2" t="e">
        <f t="shared" si="233"/>
        <v>#N/A</v>
      </c>
      <c r="S420" s="2" t="e">
        <f t="shared" si="234"/>
        <v>#N/A</v>
      </c>
      <c r="U420" s="2" t="e">
        <f t="shared" si="235"/>
        <v>#N/A</v>
      </c>
      <c r="V420" s="2" t="e">
        <f t="shared" si="236"/>
        <v>#N/A</v>
      </c>
      <c r="X420" s="2" t="e">
        <f t="shared" si="237"/>
        <v>#N/A</v>
      </c>
      <c r="Y420" s="2" t="e">
        <f t="shared" si="238"/>
        <v>#N/A</v>
      </c>
      <c r="AA420" s="2" t="e">
        <f t="shared" si="239"/>
        <v>#N/A</v>
      </c>
      <c r="AB420" s="2" t="e">
        <f t="shared" si="240"/>
        <v>#N/A</v>
      </c>
      <c r="BB420" s="5"/>
      <c r="BC420" s="5"/>
      <c r="BD420" s="5"/>
      <c r="BE420" s="5"/>
      <c r="BF420" s="5"/>
      <c r="BG420" s="5"/>
      <c r="BH420" s="5"/>
    </row>
    <row r="421" spans="1:60" s="2" customFormat="1">
      <c r="A421" s="70">
        <v>315</v>
      </c>
      <c r="C421" s="2" t="e">
        <f t="shared" si="223"/>
        <v>#N/A</v>
      </c>
      <c r="D421" s="2" t="e">
        <f t="shared" si="224"/>
        <v>#N/A</v>
      </c>
      <c r="F421" s="2" t="e">
        <f t="shared" si="225"/>
        <v>#N/A</v>
      </c>
      <c r="G421" s="2" t="e">
        <f t="shared" si="226"/>
        <v>#N/A</v>
      </c>
      <c r="I421" s="2" t="e">
        <f t="shared" si="227"/>
        <v>#N/A</v>
      </c>
      <c r="J421" s="2" t="e">
        <f t="shared" si="228"/>
        <v>#N/A</v>
      </c>
      <c r="L421" s="2" t="e">
        <f t="shared" si="229"/>
        <v>#N/A</v>
      </c>
      <c r="M421" s="2" t="e">
        <f t="shared" si="230"/>
        <v>#N/A</v>
      </c>
      <c r="O421" s="2" t="e">
        <f t="shared" si="231"/>
        <v>#N/A</v>
      </c>
      <c r="P421" s="2" t="e">
        <f t="shared" si="232"/>
        <v>#N/A</v>
      </c>
      <c r="R421" s="2" t="e">
        <f t="shared" si="233"/>
        <v>#N/A</v>
      </c>
      <c r="S421" s="2" t="e">
        <f t="shared" si="234"/>
        <v>#N/A</v>
      </c>
      <c r="U421" s="2" t="e">
        <f t="shared" si="235"/>
        <v>#N/A</v>
      </c>
      <c r="V421" s="2" t="e">
        <f t="shared" si="236"/>
        <v>#N/A</v>
      </c>
      <c r="X421" s="2" t="e">
        <f t="shared" si="237"/>
        <v>#N/A</v>
      </c>
      <c r="Y421" s="2" t="e">
        <f t="shared" si="238"/>
        <v>#N/A</v>
      </c>
      <c r="AA421" s="2" t="e">
        <f t="shared" si="239"/>
        <v>#N/A</v>
      </c>
      <c r="AB421" s="2" t="e">
        <f t="shared" si="240"/>
        <v>#N/A</v>
      </c>
      <c r="BB421" s="5"/>
      <c r="BC421" s="5"/>
      <c r="BD421" s="5"/>
      <c r="BE421" s="5"/>
      <c r="BF421" s="5"/>
      <c r="BG421" s="5"/>
      <c r="BH421" s="5"/>
    </row>
    <row r="422" spans="1:60" s="2" customFormat="1">
      <c r="A422" s="70">
        <v>330</v>
      </c>
      <c r="C422" s="2" t="e">
        <f t="shared" si="223"/>
        <v>#N/A</v>
      </c>
      <c r="D422" s="2" t="e">
        <f t="shared" si="224"/>
        <v>#N/A</v>
      </c>
      <c r="F422" s="2" t="e">
        <f t="shared" si="225"/>
        <v>#N/A</v>
      </c>
      <c r="G422" s="2" t="e">
        <f t="shared" si="226"/>
        <v>#N/A</v>
      </c>
      <c r="I422" s="2" t="e">
        <f t="shared" si="227"/>
        <v>#N/A</v>
      </c>
      <c r="J422" s="2" t="e">
        <f t="shared" si="228"/>
        <v>#N/A</v>
      </c>
      <c r="L422" s="2" t="e">
        <f t="shared" si="229"/>
        <v>#N/A</v>
      </c>
      <c r="M422" s="2" t="e">
        <f t="shared" si="230"/>
        <v>#N/A</v>
      </c>
      <c r="O422" s="2" t="e">
        <f t="shared" si="231"/>
        <v>#N/A</v>
      </c>
      <c r="P422" s="2" t="e">
        <f t="shared" si="232"/>
        <v>#N/A</v>
      </c>
      <c r="R422" s="2" t="e">
        <f t="shared" si="233"/>
        <v>#N/A</v>
      </c>
      <c r="S422" s="2" t="e">
        <f t="shared" si="234"/>
        <v>#N/A</v>
      </c>
      <c r="U422" s="2" t="e">
        <f t="shared" si="235"/>
        <v>#N/A</v>
      </c>
      <c r="V422" s="2" t="e">
        <f t="shared" si="236"/>
        <v>#N/A</v>
      </c>
      <c r="X422" s="2" t="e">
        <f t="shared" si="237"/>
        <v>#N/A</v>
      </c>
      <c r="Y422" s="2" t="e">
        <f t="shared" si="238"/>
        <v>#N/A</v>
      </c>
      <c r="AA422" s="2" t="e">
        <f t="shared" si="239"/>
        <v>#N/A</v>
      </c>
      <c r="AB422" s="2" t="e">
        <f t="shared" si="240"/>
        <v>#N/A</v>
      </c>
      <c r="BB422" s="5"/>
      <c r="BC422" s="5"/>
      <c r="BD422" s="5"/>
      <c r="BE422" s="5"/>
      <c r="BF422" s="5"/>
      <c r="BG422" s="5"/>
      <c r="BH422" s="5"/>
    </row>
    <row r="423" spans="1:60" s="2" customFormat="1">
      <c r="A423" s="70">
        <v>345</v>
      </c>
      <c r="C423" s="2" t="e">
        <f t="shared" si="223"/>
        <v>#N/A</v>
      </c>
      <c r="D423" s="2" t="e">
        <f t="shared" si="224"/>
        <v>#N/A</v>
      </c>
      <c r="F423" s="2" t="e">
        <f t="shared" si="225"/>
        <v>#N/A</v>
      </c>
      <c r="G423" s="2" t="e">
        <f t="shared" si="226"/>
        <v>#N/A</v>
      </c>
      <c r="I423" s="2" t="e">
        <f t="shared" si="227"/>
        <v>#N/A</v>
      </c>
      <c r="J423" s="2" t="e">
        <f t="shared" si="228"/>
        <v>#N/A</v>
      </c>
      <c r="L423" s="2" t="e">
        <f t="shared" si="229"/>
        <v>#N/A</v>
      </c>
      <c r="M423" s="2" t="e">
        <f t="shared" si="230"/>
        <v>#N/A</v>
      </c>
      <c r="O423" s="2" t="e">
        <f t="shared" si="231"/>
        <v>#N/A</v>
      </c>
      <c r="P423" s="2" t="e">
        <f t="shared" si="232"/>
        <v>#N/A</v>
      </c>
      <c r="R423" s="2" t="e">
        <f t="shared" si="233"/>
        <v>#N/A</v>
      </c>
      <c r="S423" s="2" t="e">
        <f t="shared" si="234"/>
        <v>#N/A</v>
      </c>
      <c r="U423" s="2" t="e">
        <f t="shared" si="235"/>
        <v>#N/A</v>
      </c>
      <c r="V423" s="2" t="e">
        <f t="shared" si="236"/>
        <v>#N/A</v>
      </c>
      <c r="X423" s="2" t="e">
        <f t="shared" si="237"/>
        <v>#N/A</v>
      </c>
      <c r="Y423" s="2" t="e">
        <f t="shared" si="238"/>
        <v>#N/A</v>
      </c>
      <c r="AA423" s="2" t="e">
        <f t="shared" si="239"/>
        <v>#N/A</v>
      </c>
      <c r="AB423" s="2" t="e">
        <f t="shared" si="240"/>
        <v>#N/A</v>
      </c>
      <c r="BB423" s="5"/>
      <c r="BC423" s="5"/>
      <c r="BD423" s="5"/>
      <c r="BE423" s="5"/>
      <c r="BF423" s="5"/>
      <c r="BG423" s="5"/>
      <c r="BH423" s="5"/>
    </row>
    <row r="424" spans="1:60" s="2" customFormat="1">
      <c r="A424" s="70">
        <v>360</v>
      </c>
      <c r="C424" s="2" t="e">
        <f t="shared" si="223"/>
        <v>#N/A</v>
      </c>
      <c r="D424" s="2" t="e">
        <f t="shared" si="224"/>
        <v>#N/A</v>
      </c>
      <c r="F424" s="2" t="e">
        <f t="shared" si="225"/>
        <v>#N/A</v>
      </c>
      <c r="G424" s="2" t="e">
        <f t="shared" si="226"/>
        <v>#N/A</v>
      </c>
      <c r="I424" s="2" t="e">
        <f t="shared" si="227"/>
        <v>#N/A</v>
      </c>
      <c r="J424" s="2" t="e">
        <f t="shared" si="228"/>
        <v>#N/A</v>
      </c>
      <c r="L424" s="2" t="e">
        <f t="shared" si="229"/>
        <v>#N/A</v>
      </c>
      <c r="M424" s="2" t="e">
        <f t="shared" si="230"/>
        <v>#N/A</v>
      </c>
      <c r="O424" s="2" t="e">
        <f t="shared" si="231"/>
        <v>#N/A</v>
      </c>
      <c r="P424" s="2" t="e">
        <f t="shared" si="232"/>
        <v>#N/A</v>
      </c>
      <c r="R424" s="2" t="e">
        <f t="shared" si="233"/>
        <v>#N/A</v>
      </c>
      <c r="S424" s="2" t="e">
        <f t="shared" si="234"/>
        <v>#N/A</v>
      </c>
      <c r="U424" s="2" t="e">
        <f t="shared" si="235"/>
        <v>#N/A</v>
      </c>
      <c r="V424" s="2" t="e">
        <f t="shared" si="236"/>
        <v>#N/A</v>
      </c>
      <c r="X424" s="2" t="e">
        <f t="shared" si="237"/>
        <v>#N/A</v>
      </c>
      <c r="Y424" s="2" t="e">
        <f t="shared" si="238"/>
        <v>#N/A</v>
      </c>
      <c r="AA424" s="2" t="e">
        <f t="shared" si="239"/>
        <v>#N/A</v>
      </c>
      <c r="AB424" s="2" t="e">
        <f t="shared" si="240"/>
        <v>#N/A</v>
      </c>
      <c r="BB424" s="5"/>
      <c r="BC424" s="5"/>
      <c r="BD424" s="5"/>
      <c r="BE424" s="5"/>
      <c r="BF424" s="5"/>
      <c r="BG424" s="5"/>
      <c r="BH424" s="5"/>
    </row>
    <row r="425" spans="1:60" s="2" customFormat="1">
      <c r="A425" s="70"/>
      <c r="BB425" s="5"/>
      <c r="BC425" s="5"/>
      <c r="BD425" s="5"/>
      <c r="BE425" s="5"/>
      <c r="BF425" s="5"/>
      <c r="BG425" s="5"/>
      <c r="BH425" s="5"/>
    </row>
    <row r="426" spans="1:60" s="2" customFormat="1">
      <c r="A426" s="70">
        <v>0</v>
      </c>
      <c r="B426" s="2">
        <v>5</v>
      </c>
      <c r="C426" s="2" t="e">
        <f t="shared" ref="C426:C450" si="241">IF(AND(AG$3,C$565&gt;0),(E$17+1)*COS($A426*PI()/180)+C$565,NA())</f>
        <v>#N/A</v>
      </c>
      <c r="D426" s="2" t="e">
        <f t="shared" ref="D426:D450" si="242">IF(AND(AG$3,C$565&gt;0),(E$17+1)*SIN($A426*PI()/180)+E$13,NA())</f>
        <v>#N/A</v>
      </c>
      <c r="F426" s="2" t="e">
        <f t="shared" ref="F426:F450" si="243">IF(AND(AH$3,F$565&gt;0),(H$17+1)*COS($A426*PI()/180)+F$565,NA())</f>
        <v>#N/A</v>
      </c>
      <c r="G426" s="2" t="e">
        <f t="shared" ref="G426:G450" si="244">IF(AND(AH$3,F$565&gt;0),(H$17+1)*SIN($A426*PI()/180)+H$13,NA())</f>
        <v>#N/A</v>
      </c>
      <c r="I426" s="2" t="e">
        <f t="shared" ref="I426:I450" si="245">IF(AND(AI$3,I$565&gt;0),(K$17+1)*COS($A426*PI()/180)+I$565,NA())</f>
        <v>#N/A</v>
      </c>
      <c r="J426" s="2" t="e">
        <f t="shared" ref="J426:J450" si="246">IF(AND(AI$3,I$565&gt;0),(K$17+1)*SIN($A426*PI()/180)+K$13,NA())</f>
        <v>#N/A</v>
      </c>
      <c r="L426" s="2" t="e">
        <f t="shared" ref="L426:L450" si="247">IF(AND(AJ$3,L$565&gt;0),(N$17+1)*COS($A426*PI()/180)+L$565,NA())</f>
        <v>#N/A</v>
      </c>
      <c r="M426" s="2" t="e">
        <f t="shared" ref="M426:M450" si="248">IF(AND(AJ$3,L$565&gt;0),(N$17+1)*SIN($A426*PI()/180)+N$13,NA())</f>
        <v>#N/A</v>
      </c>
      <c r="O426" s="2" t="e">
        <f t="shared" ref="O426:O450" si="249">IF(AND(AK$3,O$565&gt;0),(Q$17+1)*COS($A426*PI()/180)+O$565,NA())</f>
        <v>#N/A</v>
      </c>
      <c r="P426" s="2" t="e">
        <f t="shared" ref="P426:P450" si="250">IF(AND(AK$3,O$565&gt;0),(Q$17+1)*SIN($A426*PI()/180)+Q$13,NA())</f>
        <v>#N/A</v>
      </c>
      <c r="R426" s="2" t="e">
        <f t="shared" ref="R426:R450" si="251">IF(AND(AL$3,R$565&gt;0),(T$17+1)*COS($A426*PI()/180)+R$565,NA())</f>
        <v>#N/A</v>
      </c>
      <c r="S426" s="2" t="e">
        <f t="shared" ref="S426:S450" si="252">IF(AND(AL$3,R$565&gt;0),(T$17+1)*SIN($A426*PI()/180)+T$13,NA())</f>
        <v>#N/A</v>
      </c>
      <c r="U426" s="2" t="e">
        <f t="shared" ref="U426:U450" si="253">IF(AND(AM$3,U$565&gt;0),(W$17+1)*COS($A426*PI()/180)+U$565,NA())</f>
        <v>#N/A</v>
      </c>
      <c r="V426" s="2" t="e">
        <f t="shared" ref="V426:V450" si="254">IF(AND(AM$3,U$565&gt;0),(W$17+1)*SIN($A426*PI()/180)+W$13,NA())</f>
        <v>#N/A</v>
      </c>
      <c r="X426" s="2" t="e">
        <f t="shared" ref="X426:X450" si="255">IF(AND(AN$3,X$565&gt;0),(Z$17+1)*COS($A426*PI()/180)+X$565,NA())</f>
        <v>#N/A</v>
      </c>
      <c r="Y426" s="2" t="e">
        <f t="shared" ref="Y426:Y450" si="256">IF(AND(AN$3,X$565&gt;0),(Z$17+1)*SIN($A426*PI()/180)+Z$13,NA())</f>
        <v>#N/A</v>
      </c>
      <c r="AA426" s="2" t="e">
        <f t="shared" ref="AA426:AA450" si="257">IF(AND(AO$3,AA$565&gt;0),(AC$17+1)*COS($A426*PI()/180)+AA$565,NA())</f>
        <v>#N/A</v>
      </c>
      <c r="AB426" s="2" t="e">
        <f t="shared" ref="AB426:AB450" si="258">IF(AND(AO$3,AA$565&gt;0),(AC$17+1)*SIN($A426*PI()/180)+AC$13,NA())</f>
        <v>#N/A</v>
      </c>
      <c r="BB426" s="5"/>
      <c r="BC426" s="5"/>
      <c r="BD426" s="5"/>
      <c r="BE426" s="5"/>
      <c r="BF426" s="5"/>
      <c r="BG426" s="5"/>
      <c r="BH426" s="5"/>
    </row>
    <row r="427" spans="1:60" s="2" customFormat="1">
      <c r="A427" s="70">
        <v>15</v>
      </c>
      <c r="C427" s="2" t="e">
        <f t="shared" si="241"/>
        <v>#N/A</v>
      </c>
      <c r="D427" s="2" t="e">
        <f t="shared" si="242"/>
        <v>#N/A</v>
      </c>
      <c r="F427" s="2" t="e">
        <f t="shared" si="243"/>
        <v>#N/A</v>
      </c>
      <c r="G427" s="2" t="e">
        <f t="shared" si="244"/>
        <v>#N/A</v>
      </c>
      <c r="I427" s="2" t="e">
        <f t="shared" si="245"/>
        <v>#N/A</v>
      </c>
      <c r="J427" s="2" t="e">
        <f t="shared" si="246"/>
        <v>#N/A</v>
      </c>
      <c r="L427" s="2" t="e">
        <f t="shared" si="247"/>
        <v>#N/A</v>
      </c>
      <c r="M427" s="2" t="e">
        <f t="shared" si="248"/>
        <v>#N/A</v>
      </c>
      <c r="O427" s="2" t="e">
        <f t="shared" si="249"/>
        <v>#N/A</v>
      </c>
      <c r="P427" s="2" t="e">
        <f t="shared" si="250"/>
        <v>#N/A</v>
      </c>
      <c r="R427" s="2" t="e">
        <f t="shared" si="251"/>
        <v>#N/A</v>
      </c>
      <c r="S427" s="2" t="e">
        <f t="shared" si="252"/>
        <v>#N/A</v>
      </c>
      <c r="U427" s="2" t="e">
        <f t="shared" si="253"/>
        <v>#N/A</v>
      </c>
      <c r="V427" s="2" t="e">
        <f t="shared" si="254"/>
        <v>#N/A</v>
      </c>
      <c r="X427" s="2" t="e">
        <f t="shared" si="255"/>
        <v>#N/A</v>
      </c>
      <c r="Y427" s="2" t="e">
        <f t="shared" si="256"/>
        <v>#N/A</v>
      </c>
      <c r="AA427" s="2" t="e">
        <f t="shared" si="257"/>
        <v>#N/A</v>
      </c>
      <c r="AB427" s="2" t="e">
        <f t="shared" si="258"/>
        <v>#N/A</v>
      </c>
      <c r="BB427" s="5"/>
      <c r="BC427" s="5"/>
      <c r="BD427" s="5"/>
      <c r="BE427" s="5"/>
      <c r="BF427" s="5"/>
      <c r="BG427" s="5"/>
      <c r="BH427" s="5"/>
    </row>
    <row r="428" spans="1:60" s="2" customFormat="1">
      <c r="A428" s="70">
        <v>30</v>
      </c>
      <c r="C428" s="2" t="e">
        <f t="shared" si="241"/>
        <v>#N/A</v>
      </c>
      <c r="D428" s="2" t="e">
        <f t="shared" si="242"/>
        <v>#N/A</v>
      </c>
      <c r="F428" s="2" t="e">
        <f t="shared" si="243"/>
        <v>#N/A</v>
      </c>
      <c r="G428" s="2" t="e">
        <f t="shared" si="244"/>
        <v>#N/A</v>
      </c>
      <c r="I428" s="2" t="e">
        <f t="shared" si="245"/>
        <v>#N/A</v>
      </c>
      <c r="J428" s="2" t="e">
        <f t="shared" si="246"/>
        <v>#N/A</v>
      </c>
      <c r="L428" s="2" t="e">
        <f t="shared" si="247"/>
        <v>#N/A</v>
      </c>
      <c r="M428" s="2" t="e">
        <f t="shared" si="248"/>
        <v>#N/A</v>
      </c>
      <c r="O428" s="2" t="e">
        <f t="shared" si="249"/>
        <v>#N/A</v>
      </c>
      <c r="P428" s="2" t="e">
        <f t="shared" si="250"/>
        <v>#N/A</v>
      </c>
      <c r="R428" s="2" t="e">
        <f t="shared" si="251"/>
        <v>#N/A</v>
      </c>
      <c r="S428" s="2" t="e">
        <f t="shared" si="252"/>
        <v>#N/A</v>
      </c>
      <c r="U428" s="2" t="e">
        <f t="shared" si="253"/>
        <v>#N/A</v>
      </c>
      <c r="V428" s="2" t="e">
        <f t="shared" si="254"/>
        <v>#N/A</v>
      </c>
      <c r="X428" s="2" t="e">
        <f t="shared" si="255"/>
        <v>#N/A</v>
      </c>
      <c r="Y428" s="2" t="e">
        <f t="shared" si="256"/>
        <v>#N/A</v>
      </c>
      <c r="AA428" s="2" t="e">
        <f t="shared" si="257"/>
        <v>#N/A</v>
      </c>
      <c r="AB428" s="2" t="e">
        <f t="shared" si="258"/>
        <v>#N/A</v>
      </c>
      <c r="BB428" s="5"/>
      <c r="BC428" s="5"/>
      <c r="BD428" s="5"/>
      <c r="BE428" s="5"/>
      <c r="BF428" s="5"/>
      <c r="BG428" s="5"/>
      <c r="BH428" s="5"/>
    </row>
    <row r="429" spans="1:60" s="2" customFormat="1">
      <c r="A429" s="70">
        <v>45</v>
      </c>
      <c r="C429" s="2" t="e">
        <f t="shared" si="241"/>
        <v>#N/A</v>
      </c>
      <c r="D429" s="2" t="e">
        <f t="shared" si="242"/>
        <v>#N/A</v>
      </c>
      <c r="F429" s="2" t="e">
        <f t="shared" si="243"/>
        <v>#N/A</v>
      </c>
      <c r="G429" s="2" t="e">
        <f t="shared" si="244"/>
        <v>#N/A</v>
      </c>
      <c r="I429" s="2" t="e">
        <f t="shared" si="245"/>
        <v>#N/A</v>
      </c>
      <c r="J429" s="2" t="e">
        <f t="shared" si="246"/>
        <v>#N/A</v>
      </c>
      <c r="L429" s="2" t="e">
        <f t="shared" si="247"/>
        <v>#N/A</v>
      </c>
      <c r="M429" s="2" t="e">
        <f t="shared" si="248"/>
        <v>#N/A</v>
      </c>
      <c r="O429" s="2" t="e">
        <f t="shared" si="249"/>
        <v>#N/A</v>
      </c>
      <c r="P429" s="2" t="e">
        <f t="shared" si="250"/>
        <v>#N/A</v>
      </c>
      <c r="R429" s="2" t="e">
        <f t="shared" si="251"/>
        <v>#N/A</v>
      </c>
      <c r="S429" s="2" t="e">
        <f t="shared" si="252"/>
        <v>#N/A</v>
      </c>
      <c r="U429" s="2" t="e">
        <f t="shared" si="253"/>
        <v>#N/A</v>
      </c>
      <c r="V429" s="2" t="e">
        <f t="shared" si="254"/>
        <v>#N/A</v>
      </c>
      <c r="X429" s="2" t="e">
        <f t="shared" si="255"/>
        <v>#N/A</v>
      </c>
      <c r="Y429" s="2" t="e">
        <f t="shared" si="256"/>
        <v>#N/A</v>
      </c>
      <c r="AA429" s="2" t="e">
        <f t="shared" si="257"/>
        <v>#N/A</v>
      </c>
      <c r="AB429" s="2" t="e">
        <f t="shared" si="258"/>
        <v>#N/A</v>
      </c>
      <c r="BB429" s="5"/>
      <c r="BC429" s="5"/>
      <c r="BD429" s="5"/>
      <c r="BE429" s="5"/>
      <c r="BF429" s="5"/>
      <c r="BG429" s="5"/>
      <c r="BH429" s="5"/>
    </row>
    <row r="430" spans="1:60" s="2" customFormat="1">
      <c r="A430" s="70">
        <v>60</v>
      </c>
      <c r="C430" s="2" t="e">
        <f t="shared" si="241"/>
        <v>#N/A</v>
      </c>
      <c r="D430" s="2" t="e">
        <f t="shared" si="242"/>
        <v>#N/A</v>
      </c>
      <c r="F430" s="2" t="e">
        <f t="shared" si="243"/>
        <v>#N/A</v>
      </c>
      <c r="G430" s="2" t="e">
        <f t="shared" si="244"/>
        <v>#N/A</v>
      </c>
      <c r="I430" s="2" t="e">
        <f t="shared" si="245"/>
        <v>#N/A</v>
      </c>
      <c r="J430" s="2" t="e">
        <f t="shared" si="246"/>
        <v>#N/A</v>
      </c>
      <c r="L430" s="2" t="e">
        <f t="shared" si="247"/>
        <v>#N/A</v>
      </c>
      <c r="M430" s="2" t="e">
        <f t="shared" si="248"/>
        <v>#N/A</v>
      </c>
      <c r="O430" s="2" t="e">
        <f t="shared" si="249"/>
        <v>#N/A</v>
      </c>
      <c r="P430" s="2" t="e">
        <f t="shared" si="250"/>
        <v>#N/A</v>
      </c>
      <c r="R430" s="2" t="e">
        <f t="shared" si="251"/>
        <v>#N/A</v>
      </c>
      <c r="S430" s="2" t="e">
        <f t="shared" si="252"/>
        <v>#N/A</v>
      </c>
      <c r="U430" s="2" t="e">
        <f t="shared" si="253"/>
        <v>#N/A</v>
      </c>
      <c r="V430" s="2" t="e">
        <f t="shared" si="254"/>
        <v>#N/A</v>
      </c>
      <c r="X430" s="2" t="e">
        <f t="shared" si="255"/>
        <v>#N/A</v>
      </c>
      <c r="Y430" s="2" t="e">
        <f t="shared" si="256"/>
        <v>#N/A</v>
      </c>
      <c r="AA430" s="2" t="e">
        <f t="shared" si="257"/>
        <v>#N/A</v>
      </c>
      <c r="AB430" s="2" t="e">
        <f t="shared" si="258"/>
        <v>#N/A</v>
      </c>
      <c r="BB430" s="5"/>
      <c r="BC430" s="5"/>
      <c r="BD430" s="5"/>
      <c r="BE430" s="5"/>
      <c r="BF430" s="5"/>
      <c r="BG430" s="5"/>
      <c r="BH430" s="5"/>
    </row>
    <row r="431" spans="1:60" s="2" customFormat="1">
      <c r="A431" s="70">
        <v>75</v>
      </c>
      <c r="C431" s="2" t="e">
        <f t="shared" si="241"/>
        <v>#N/A</v>
      </c>
      <c r="D431" s="2" t="e">
        <f t="shared" si="242"/>
        <v>#N/A</v>
      </c>
      <c r="F431" s="2" t="e">
        <f t="shared" si="243"/>
        <v>#N/A</v>
      </c>
      <c r="G431" s="2" t="e">
        <f t="shared" si="244"/>
        <v>#N/A</v>
      </c>
      <c r="I431" s="2" t="e">
        <f t="shared" si="245"/>
        <v>#N/A</v>
      </c>
      <c r="J431" s="2" t="e">
        <f t="shared" si="246"/>
        <v>#N/A</v>
      </c>
      <c r="L431" s="2" t="e">
        <f t="shared" si="247"/>
        <v>#N/A</v>
      </c>
      <c r="M431" s="2" t="e">
        <f t="shared" si="248"/>
        <v>#N/A</v>
      </c>
      <c r="O431" s="2" t="e">
        <f t="shared" si="249"/>
        <v>#N/A</v>
      </c>
      <c r="P431" s="2" t="e">
        <f t="shared" si="250"/>
        <v>#N/A</v>
      </c>
      <c r="R431" s="2" t="e">
        <f t="shared" si="251"/>
        <v>#N/A</v>
      </c>
      <c r="S431" s="2" t="e">
        <f t="shared" si="252"/>
        <v>#N/A</v>
      </c>
      <c r="U431" s="2" t="e">
        <f t="shared" si="253"/>
        <v>#N/A</v>
      </c>
      <c r="V431" s="2" t="e">
        <f t="shared" si="254"/>
        <v>#N/A</v>
      </c>
      <c r="X431" s="2" t="e">
        <f t="shared" si="255"/>
        <v>#N/A</v>
      </c>
      <c r="Y431" s="2" t="e">
        <f t="shared" si="256"/>
        <v>#N/A</v>
      </c>
      <c r="AA431" s="2" t="e">
        <f t="shared" si="257"/>
        <v>#N/A</v>
      </c>
      <c r="AB431" s="2" t="e">
        <f t="shared" si="258"/>
        <v>#N/A</v>
      </c>
      <c r="BB431" s="5"/>
      <c r="BC431" s="5"/>
      <c r="BD431" s="5"/>
      <c r="BE431" s="5"/>
      <c r="BF431" s="5"/>
      <c r="BG431" s="5"/>
      <c r="BH431" s="5"/>
    </row>
    <row r="432" spans="1:60" s="2" customFormat="1">
      <c r="A432" s="70">
        <v>90</v>
      </c>
      <c r="C432" s="2" t="e">
        <f t="shared" si="241"/>
        <v>#N/A</v>
      </c>
      <c r="D432" s="2" t="e">
        <f t="shared" si="242"/>
        <v>#N/A</v>
      </c>
      <c r="F432" s="2" t="e">
        <f t="shared" si="243"/>
        <v>#N/A</v>
      </c>
      <c r="G432" s="2" t="e">
        <f t="shared" si="244"/>
        <v>#N/A</v>
      </c>
      <c r="I432" s="2" t="e">
        <f t="shared" si="245"/>
        <v>#N/A</v>
      </c>
      <c r="J432" s="2" t="e">
        <f t="shared" si="246"/>
        <v>#N/A</v>
      </c>
      <c r="L432" s="2" t="e">
        <f t="shared" si="247"/>
        <v>#N/A</v>
      </c>
      <c r="M432" s="2" t="e">
        <f t="shared" si="248"/>
        <v>#N/A</v>
      </c>
      <c r="O432" s="2" t="e">
        <f t="shared" si="249"/>
        <v>#N/A</v>
      </c>
      <c r="P432" s="2" t="e">
        <f t="shared" si="250"/>
        <v>#N/A</v>
      </c>
      <c r="R432" s="2" t="e">
        <f t="shared" si="251"/>
        <v>#N/A</v>
      </c>
      <c r="S432" s="2" t="e">
        <f t="shared" si="252"/>
        <v>#N/A</v>
      </c>
      <c r="U432" s="2" t="e">
        <f t="shared" si="253"/>
        <v>#N/A</v>
      </c>
      <c r="V432" s="2" t="e">
        <f t="shared" si="254"/>
        <v>#N/A</v>
      </c>
      <c r="X432" s="2" t="e">
        <f t="shared" si="255"/>
        <v>#N/A</v>
      </c>
      <c r="Y432" s="2" t="e">
        <f t="shared" si="256"/>
        <v>#N/A</v>
      </c>
      <c r="AA432" s="2" t="e">
        <f t="shared" si="257"/>
        <v>#N/A</v>
      </c>
      <c r="AB432" s="2" t="e">
        <f t="shared" si="258"/>
        <v>#N/A</v>
      </c>
      <c r="BB432" s="5"/>
      <c r="BC432" s="5"/>
      <c r="BD432" s="5"/>
      <c r="BE432" s="5"/>
      <c r="BF432" s="5"/>
      <c r="BG432" s="5"/>
      <c r="BH432" s="5"/>
    </row>
    <row r="433" spans="1:60" s="2" customFormat="1">
      <c r="A433" s="70">
        <v>105</v>
      </c>
      <c r="C433" s="2" t="e">
        <f t="shared" si="241"/>
        <v>#N/A</v>
      </c>
      <c r="D433" s="2" t="e">
        <f t="shared" si="242"/>
        <v>#N/A</v>
      </c>
      <c r="F433" s="2" t="e">
        <f t="shared" si="243"/>
        <v>#N/A</v>
      </c>
      <c r="G433" s="2" t="e">
        <f t="shared" si="244"/>
        <v>#N/A</v>
      </c>
      <c r="I433" s="2" t="e">
        <f t="shared" si="245"/>
        <v>#N/A</v>
      </c>
      <c r="J433" s="2" t="e">
        <f t="shared" si="246"/>
        <v>#N/A</v>
      </c>
      <c r="L433" s="2" t="e">
        <f t="shared" si="247"/>
        <v>#N/A</v>
      </c>
      <c r="M433" s="2" t="e">
        <f t="shared" si="248"/>
        <v>#N/A</v>
      </c>
      <c r="O433" s="2" t="e">
        <f t="shared" si="249"/>
        <v>#N/A</v>
      </c>
      <c r="P433" s="2" t="e">
        <f t="shared" si="250"/>
        <v>#N/A</v>
      </c>
      <c r="R433" s="2" t="e">
        <f t="shared" si="251"/>
        <v>#N/A</v>
      </c>
      <c r="S433" s="2" t="e">
        <f t="shared" si="252"/>
        <v>#N/A</v>
      </c>
      <c r="U433" s="2" t="e">
        <f t="shared" si="253"/>
        <v>#N/A</v>
      </c>
      <c r="V433" s="2" t="e">
        <f t="shared" si="254"/>
        <v>#N/A</v>
      </c>
      <c r="X433" s="2" t="e">
        <f t="shared" si="255"/>
        <v>#N/A</v>
      </c>
      <c r="Y433" s="2" t="e">
        <f t="shared" si="256"/>
        <v>#N/A</v>
      </c>
      <c r="AA433" s="2" t="e">
        <f t="shared" si="257"/>
        <v>#N/A</v>
      </c>
      <c r="AB433" s="2" t="e">
        <f t="shared" si="258"/>
        <v>#N/A</v>
      </c>
      <c r="BB433" s="5"/>
      <c r="BC433" s="5"/>
      <c r="BD433" s="5"/>
      <c r="BE433" s="5"/>
      <c r="BF433" s="5"/>
      <c r="BG433" s="5"/>
      <c r="BH433" s="5"/>
    </row>
    <row r="434" spans="1:60" s="2" customFormat="1">
      <c r="A434" s="70">
        <v>120</v>
      </c>
      <c r="C434" s="2" t="e">
        <f t="shared" si="241"/>
        <v>#N/A</v>
      </c>
      <c r="D434" s="2" t="e">
        <f t="shared" si="242"/>
        <v>#N/A</v>
      </c>
      <c r="F434" s="2" t="e">
        <f t="shared" si="243"/>
        <v>#N/A</v>
      </c>
      <c r="G434" s="2" t="e">
        <f t="shared" si="244"/>
        <v>#N/A</v>
      </c>
      <c r="I434" s="2" t="e">
        <f t="shared" si="245"/>
        <v>#N/A</v>
      </c>
      <c r="J434" s="2" t="e">
        <f t="shared" si="246"/>
        <v>#N/A</v>
      </c>
      <c r="L434" s="2" t="e">
        <f t="shared" si="247"/>
        <v>#N/A</v>
      </c>
      <c r="M434" s="2" t="e">
        <f t="shared" si="248"/>
        <v>#N/A</v>
      </c>
      <c r="O434" s="2" t="e">
        <f t="shared" si="249"/>
        <v>#N/A</v>
      </c>
      <c r="P434" s="2" t="e">
        <f t="shared" si="250"/>
        <v>#N/A</v>
      </c>
      <c r="R434" s="2" t="e">
        <f t="shared" si="251"/>
        <v>#N/A</v>
      </c>
      <c r="S434" s="2" t="e">
        <f t="shared" si="252"/>
        <v>#N/A</v>
      </c>
      <c r="U434" s="2" t="e">
        <f t="shared" si="253"/>
        <v>#N/A</v>
      </c>
      <c r="V434" s="2" t="e">
        <f t="shared" si="254"/>
        <v>#N/A</v>
      </c>
      <c r="X434" s="2" t="e">
        <f t="shared" si="255"/>
        <v>#N/A</v>
      </c>
      <c r="Y434" s="2" t="e">
        <f t="shared" si="256"/>
        <v>#N/A</v>
      </c>
      <c r="AA434" s="2" t="e">
        <f t="shared" si="257"/>
        <v>#N/A</v>
      </c>
      <c r="AB434" s="2" t="e">
        <f t="shared" si="258"/>
        <v>#N/A</v>
      </c>
      <c r="BB434" s="5"/>
      <c r="BC434" s="5"/>
      <c r="BD434" s="5"/>
      <c r="BE434" s="5"/>
      <c r="BF434" s="5"/>
      <c r="BG434" s="5"/>
      <c r="BH434" s="5"/>
    </row>
    <row r="435" spans="1:60" s="2" customFormat="1">
      <c r="A435" s="70">
        <v>135</v>
      </c>
      <c r="C435" s="2" t="e">
        <f t="shared" si="241"/>
        <v>#N/A</v>
      </c>
      <c r="D435" s="2" t="e">
        <f t="shared" si="242"/>
        <v>#N/A</v>
      </c>
      <c r="F435" s="2" t="e">
        <f t="shared" si="243"/>
        <v>#N/A</v>
      </c>
      <c r="G435" s="2" t="e">
        <f t="shared" si="244"/>
        <v>#N/A</v>
      </c>
      <c r="I435" s="2" t="e">
        <f t="shared" si="245"/>
        <v>#N/A</v>
      </c>
      <c r="J435" s="2" t="e">
        <f t="shared" si="246"/>
        <v>#N/A</v>
      </c>
      <c r="L435" s="2" t="e">
        <f t="shared" si="247"/>
        <v>#N/A</v>
      </c>
      <c r="M435" s="2" t="e">
        <f t="shared" si="248"/>
        <v>#N/A</v>
      </c>
      <c r="O435" s="2" t="e">
        <f t="shared" si="249"/>
        <v>#N/A</v>
      </c>
      <c r="P435" s="2" t="e">
        <f t="shared" si="250"/>
        <v>#N/A</v>
      </c>
      <c r="R435" s="2" t="e">
        <f t="shared" si="251"/>
        <v>#N/A</v>
      </c>
      <c r="S435" s="2" t="e">
        <f t="shared" si="252"/>
        <v>#N/A</v>
      </c>
      <c r="U435" s="2" t="e">
        <f t="shared" si="253"/>
        <v>#N/A</v>
      </c>
      <c r="V435" s="2" t="e">
        <f t="shared" si="254"/>
        <v>#N/A</v>
      </c>
      <c r="X435" s="2" t="e">
        <f t="shared" si="255"/>
        <v>#N/A</v>
      </c>
      <c r="Y435" s="2" t="e">
        <f t="shared" si="256"/>
        <v>#N/A</v>
      </c>
      <c r="AA435" s="2" t="e">
        <f t="shared" si="257"/>
        <v>#N/A</v>
      </c>
      <c r="AB435" s="2" t="e">
        <f t="shared" si="258"/>
        <v>#N/A</v>
      </c>
      <c r="BB435" s="5"/>
      <c r="BC435" s="5"/>
      <c r="BD435" s="5"/>
      <c r="BE435" s="5"/>
      <c r="BF435" s="5"/>
      <c r="BG435" s="5"/>
      <c r="BH435" s="5"/>
    </row>
    <row r="436" spans="1:60" s="2" customFormat="1">
      <c r="A436" s="70">
        <v>150</v>
      </c>
      <c r="C436" s="2" t="e">
        <f t="shared" si="241"/>
        <v>#N/A</v>
      </c>
      <c r="D436" s="2" t="e">
        <f t="shared" si="242"/>
        <v>#N/A</v>
      </c>
      <c r="F436" s="2" t="e">
        <f t="shared" si="243"/>
        <v>#N/A</v>
      </c>
      <c r="G436" s="2" t="e">
        <f t="shared" si="244"/>
        <v>#N/A</v>
      </c>
      <c r="I436" s="2" t="e">
        <f t="shared" si="245"/>
        <v>#N/A</v>
      </c>
      <c r="J436" s="2" t="e">
        <f t="shared" si="246"/>
        <v>#N/A</v>
      </c>
      <c r="L436" s="2" t="e">
        <f t="shared" si="247"/>
        <v>#N/A</v>
      </c>
      <c r="M436" s="2" t="e">
        <f t="shared" si="248"/>
        <v>#N/A</v>
      </c>
      <c r="O436" s="2" t="e">
        <f t="shared" si="249"/>
        <v>#N/A</v>
      </c>
      <c r="P436" s="2" t="e">
        <f t="shared" si="250"/>
        <v>#N/A</v>
      </c>
      <c r="R436" s="2" t="e">
        <f t="shared" si="251"/>
        <v>#N/A</v>
      </c>
      <c r="S436" s="2" t="e">
        <f t="shared" si="252"/>
        <v>#N/A</v>
      </c>
      <c r="U436" s="2" t="e">
        <f t="shared" si="253"/>
        <v>#N/A</v>
      </c>
      <c r="V436" s="2" t="e">
        <f t="shared" si="254"/>
        <v>#N/A</v>
      </c>
      <c r="X436" s="2" t="e">
        <f t="shared" si="255"/>
        <v>#N/A</v>
      </c>
      <c r="Y436" s="2" t="e">
        <f t="shared" si="256"/>
        <v>#N/A</v>
      </c>
      <c r="AA436" s="2" t="e">
        <f t="shared" si="257"/>
        <v>#N/A</v>
      </c>
      <c r="AB436" s="2" t="e">
        <f t="shared" si="258"/>
        <v>#N/A</v>
      </c>
      <c r="BB436" s="5"/>
      <c r="BC436" s="5"/>
      <c r="BD436" s="5"/>
      <c r="BE436" s="5"/>
      <c r="BF436" s="5"/>
      <c r="BG436" s="5"/>
      <c r="BH436" s="5"/>
    </row>
    <row r="437" spans="1:60" s="2" customFormat="1">
      <c r="A437" s="70">
        <v>165</v>
      </c>
      <c r="C437" s="2" t="e">
        <f t="shared" si="241"/>
        <v>#N/A</v>
      </c>
      <c r="D437" s="2" t="e">
        <f t="shared" si="242"/>
        <v>#N/A</v>
      </c>
      <c r="F437" s="2" t="e">
        <f t="shared" si="243"/>
        <v>#N/A</v>
      </c>
      <c r="G437" s="2" t="e">
        <f t="shared" si="244"/>
        <v>#N/A</v>
      </c>
      <c r="I437" s="2" t="e">
        <f t="shared" si="245"/>
        <v>#N/A</v>
      </c>
      <c r="J437" s="2" t="e">
        <f t="shared" si="246"/>
        <v>#N/A</v>
      </c>
      <c r="L437" s="2" t="e">
        <f t="shared" si="247"/>
        <v>#N/A</v>
      </c>
      <c r="M437" s="2" t="e">
        <f t="shared" si="248"/>
        <v>#N/A</v>
      </c>
      <c r="O437" s="2" t="e">
        <f t="shared" si="249"/>
        <v>#N/A</v>
      </c>
      <c r="P437" s="2" t="e">
        <f t="shared" si="250"/>
        <v>#N/A</v>
      </c>
      <c r="R437" s="2" t="e">
        <f t="shared" si="251"/>
        <v>#N/A</v>
      </c>
      <c r="S437" s="2" t="e">
        <f t="shared" si="252"/>
        <v>#N/A</v>
      </c>
      <c r="U437" s="2" t="e">
        <f t="shared" si="253"/>
        <v>#N/A</v>
      </c>
      <c r="V437" s="2" t="e">
        <f t="shared" si="254"/>
        <v>#N/A</v>
      </c>
      <c r="X437" s="2" t="e">
        <f t="shared" si="255"/>
        <v>#N/A</v>
      </c>
      <c r="Y437" s="2" t="e">
        <f t="shared" si="256"/>
        <v>#N/A</v>
      </c>
      <c r="AA437" s="2" t="e">
        <f t="shared" si="257"/>
        <v>#N/A</v>
      </c>
      <c r="AB437" s="2" t="e">
        <f t="shared" si="258"/>
        <v>#N/A</v>
      </c>
      <c r="BB437" s="5"/>
      <c r="BC437" s="5"/>
      <c r="BD437" s="5"/>
      <c r="BE437" s="5"/>
      <c r="BF437" s="5"/>
      <c r="BG437" s="5"/>
      <c r="BH437" s="5"/>
    </row>
    <row r="438" spans="1:60" s="2" customFormat="1">
      <c r="A438" s="70">
        <v>180</v>
      </c>
      <c r="C438" s="2" t="e">
        <f t="shared" si="241"/>
        <v>#N/A</v>
      </c>
      <c r="D438" s="2" t="e">
        <f t="shared" si="242"/>
        <v>#N/A</v>
      </c>
      <c r="F438" s="2" t="e">
        <f t="shared" si="243"/>
        <v>#N/A</v>
      </c>
      <c r="G438" s="2" t="e">
        <f t="shared" si="244"/>
        <v>#N/A</v>
      </c>
      <c r="I438" s="2" t="e">
        <f t="shared" si="245"/>
        <v>#N/A</v>
      </c>
      <c r="J438" s="2" t="e">
        <f t="shared" si="246"/>
        <v>#N/A</v>
      </c>
      <c r="L438" s="2" t="e">
        <f t="shared" si="247"/>
        <v>#N/A</v>
      </c>
      <c r="M438" s="2" t="e">
        <f t="shared" si="248"/>
        <v>#N/A</v>
      </c>
      <c r="O438" s="2" t="e">
        <f t="shared" si="249"/>
        <v>#N/A</v>
      </c>
      <c r="P438" s="2" t="e">
        <f t="shared" si="250"/>
        <v>#N/A</v>
      </c>
      <c r="R438" s="2" t="e">
        <f t="shared" si="251"/>
        <v>#N/A</v>
      </c>
      <c r="S438" s="2" t="e">
        <f t="shared" si="252"/>
        <v>#N/A</v>
      </c>
      <c r="U438" s="2" t="e">
        <f t="shared" si="253"/>
        <v>#N/A</v>
      </c>
      <c r="V438" s="2" t="e">
        <f t="shared" si="254"/>
        <v>#N/A</v>
      </c>
      <c r="X438" s="2" t="e">
        <f t="shared" si="255"/>
        <v>#N/A</v>
      </c>
      <c r="Y438" s="2" t="e">
        <f t="shared" si="256"/>
        <v>#N/A</v>
      </c>
      <c r="AA438" s="2" t="e">
        <f t="shared" si="257"/>
        <v>#N/A</v>
      </c>
      <c r="AB438" s="2" t="e">
        <f t="shared" si="258"/>
        <v>#N/A</v>
      </c>
      <c r="BB438" s="5"/>
      <c r="BC438" s="5"/>
      <c r="BD438" s="5"/>
      <c r="BE438" s="5"/>
      <c r="BF438" s="5"/>
      <c r="BG438" s="5"/>
      <c r="BH438" s="5"/>
    </row>
    <row r="439" spans="1:60" s="2" customFormat="1">
      <c r="A439" s="70">
        <v>195</v>
      </c>
      <c r="C439" s="2" t="e">
        <f t="shared" si="241"/>
        <v>#N/A</v>
      </c>
      <c r="D439" s="2" t="e">
        <f t="shared" si="242"/>
        <v>#N/A</v>
      </c>
      <c r="F439" s="2" t="e">
        <f t="shared" si="243"/>
        <v>#N/A</v>
      </c>
      <c r="G439" s="2" t="e">
        <f t="shared" si="244"/>
        <v>#N/A</v>
      </c>
      <c r="I439" s="2" t="e">
        <f t="shared" si="245"/>
        <v>#N/A</v>
      </c>
      <c r="J439" s="2" t="e">
        <f t="shared" si="246"/>
        <v>#N/A</v>
      </c>
      <c r="L439" s="2" t="e">
        <f t="shared" si="247"/>
        <v>#N/A</v>
      </c>
      <c r="M439" s="2" t="e">
        <f t="shared" si="248"/>
        <v>#N/A</v>
      </c>
      <c r="O439" s="2" t="e">
        <f t="shared" si="249"/>
        <v>#N/A</v>
      </c>
      <c r="P439" s="2" t="e">
        <f t="shared" si="250"/>
        <v>#N/A</v>
      </c>
      <c r="R439" s="2" t="e">
        <f t="shared" si="251"/>
        <v>#N/A</v>
      </c>
      <c r="S439" s="2" t="e">
        <f t="shared" si="252"/>
        <v>#N/A</v>
      </c>
      <c r="U439" s="2" t="e">
        <f t="shared" si="253"/>
        <v>#N/A</v>
      </c>
      <c r="V439" s="2" t="e">
        <f t="shared" si="254"/>
        <v>#N/A</v>
      </c>
      <c r="X439" s="2" t="e">
        <f t="shared" si="255"/>
        <v>#N/A</v>
      </c>
      <c r="Y439" s="2" t="e">
        <f t="shared" si="256"/>
        <v>#N/A</v>
      </c>
      <c r="AA439" s="2" t="e">
        <f t="shared" si="257"/>
        <v>#N/A</v>
      </c>
      <c r="AB439" s="2" t="e">
        <f t="shared" si="258"/>
        <v>#N/A</v>
      </c>
      <c r="BB439" s="5"/>
      <c r="BC439" s="5"/>
      <c r="BD439" s="5"/>
      <c r="BE439" s="5"/>
      <c r="BF439" s="5"/>
      <c r="BG439" s="5"/>
      <c r="BH439" s="5"/>
    </row>
    <row r="440" spans="1:60" s="2" customFormat="1">
      <c r="A440" s="70">
        <v>210</v>
      </c>
      <c r="C440" s="2" t="e">
        <f t="shared" si="241"/>
        <v>#N/A</v>
      </c>
      <c r="D440" s="2" t="e">
        <f t="shared" si="242"/>
        <v>#N/A</v>
      </c>
      <c r="F440" s="2" t="e">
        <f t="shared" si="243"/>
        <v>#N/A</v>
      </c>
      <c r="G440" s="2" t="e">
        <f t="shared" si="244"/>
        <v>#N/A</v>
      </c>
      <c r="I440" s="2" t="e">
        <f t="shared" si="245"/>
        <v>#N/A</v>
      </c>
      <c r="J440" s="2" t="e">
        <f t="shared" si="246"/>
        <v>#N/A</v>
      </c>
      <c r="L440" s="2" t="e">
        <f t="shared" si="247"/>
        <v>#N/A</v>
      </c>
      <c r="M440" s="2" t="e">
        <f t="shared" si="248"/>
        <v>#N/A</v>
      </c>
      <c r="O440" s="2" t="e">
        <f t="shared" si="249"/>
        <v>#N/A</v>
      </c>
      <c r="P440" s="2" t="e">
        <f t="shared" si="250"/>
        <v>#N/A</v>
      </c>
      <c r="R440" s="2" t="e">
        <f t="shared" si="251"/>
        <v>#N/A</v>
      </c>
      <c r="S440" s="2" t="e">
        <f t="shared" si="252"/>
        <v>#N/A</v>
      </c>
      <c r="U440" s="2" t="e">
        <f t="shared" si="253"/>
        <v>#N/A</v>
      </c>
      <c r="V440" s="2" t="e">
        <f t="shared" si="254"/>
        <v>#N/A</v>
      </c>
      <c r="X440" s="2" t="e">
        <f t="shared" si="255"/>
        <v>#N/A</v>
      </c>
      <c r="Y440" s="2" t="e">
        <f t="shared" si="256"/>
        <v>#N/A</v>
      </c>
      <c r="AA440" s="2" t="e">
        <f t="shared" si="257"/>
        <v>#N/A</v>
      </c>
      <c r="AB440" s="2" t="e">
        <f t="shared" si="258"/>
        <v>#N/A</v>
      </c>
      <c r="BB440" s="5"/>
      <c r="BC440" s="5"/>
      <c r="BD440" s="5"/>
      <c r="BE440" s="5"/>
      <c r="BF440" s="5"/>
      <c r="BG440" s="5"/>
      <c r="BH440" s="5"/>
    </row>
    <row r="441" spans="1:60" s="2" customFormat="1">
      <c r="A441" s="70">
        <v>225</v>
      </c>
      <c r="C441" s="2" t="e">
        <f t="shared" si="241"/>
        <v>#N/A</v>
      </c>
      <c r="D441" s="2" t="e">
        <f t="shared" si="242"/>
        <v>#N/A</v>
      </c>
      <c r="F441" s="2" t="e">
        <f t="shared" si="243"/>
        <v>#N/A</v>
      </c>
      <c r="G441" s="2" t="e">
        <f t="shared" si="244"/>
        <v>#N/A</v>
      </c>
      <c r="I441" s="2" t="e">
        <f t="shared" si="245"/>
        <v>#N/A</v>
      </c>
      <c r="J441" s="2" t="e">
        <f t="shared" si="246"/>
        <v>#N/A</v>
      </c>
      <c r="L441" s="2" t="e">
        <f t="shared" si="247"/>
        <v>#N/A</v>
      </c>
      <c r="M441" s="2" t="e">
        <f t="shared" si="248"/>
        <v>#N/A</v>
      </c>
      <c r="O441" s="2" t="e">
        <f t="shared" si="249"/>
        <v>#N/A</v>
      </c>
      <c r="P441" s="2" t="e">
        <f t="shared" si="250"/>
        <v>#N/A</v>
      </c>
      <c r="R441" s="2" t="e">
        <f t="shared" si="251"/>
        <v>#N/A</v>
      </c>
      <c r="S441" s="2" t="e">
        <f t="shared" si="252"/>
        <v>#N/A</v>
      </c>
      <c r="U441" s="2" t="e">
        <f t="shared" si="253"/>
        <v>#N/A</v>
      </c>
      <c r="V441" s="2" t="e">
        <f t="shared" si="254"/>
        <v>#N/A</v>
      </c>
      <c r="X441" s="2" t="e">
        <f t="shared" si="255"/>
        <v>#N/A</v>
      </c>
      <c r="Y441" s="2" t="e">
        <f t="shared" si="256"/>
        <v>#N/A</v>
      </c>
      <c r="AA441" s="2" t="e">
        <f t="shared" si="257"/>
        <v>#N/A</v>
      </c>
      <c r="AB441" s="2" t="e">
        <f t="shared" si="258"/>
        <v>#N/A</v>
      </c>
      <c r="BB441" s="5"/>
      <c r="BC441" s="5"/>
      <c r="BD441" s="5"/>
      <c r="BE441" s="5"/>
      <c r="BF441" s="5"/>
      <c r="BG441" s="5"/>
      <c r="BH441" s="5"/>
    </row>
    <row r="442" spans="1:60" s="2" customFormat="1">
      <c r="A442" s="70">
        <v>240</v>
      </c>
      <c r="C442" s="2" t="e">
        <f t="shared" si="241"/>
        <v>#N/A</v>
      </c>
      <c r="D442" s="2" t="e">
        <f t="shared" si="242"/>
        <v>#N/A</v>
      </c>
      <c r="F442" s="2" t="e">
        <f t="shared" si="243"/>
        <v>#N/A</v>
      </c>
      <c r="G442" s="2" t="e">
        <f t="shared" si="244"/>
        <v>#N/A</v>
      </c>
      <c r="I442" s="2" t="e">
        <f t="shared" si="245"/>
        <v>#N/A</v>
      </c>
      <c r="J442" s="2" t="e">
        <f t="shared" si="246"/>
        <v>#N/A</v>
      </c>
      <c r="L442" s="2" t="e">
        <f t="shared" si="247"/>
        <v>#N/A</v>
      </c>
      <c r="M442" s="2" t="e">
        <f t="shared" si="248"/>
        <v>#N/A</v>
      </c>
      <c r="O442" s="2" t="e">
        <f t="shared" si="249"/>
        <v>#N/A</v>
      </c>
      <c r="P442" s="2" t="e">
        <f t="shared" si="250"/>
        <v>#N/A</v>
      </c>
      <c r="R442" s="2" t="e">
        <f t="shared" si="251"/>
        <v>#N/A</v>
      </c>
      <c r="S442" s="2" t="e">
        <f t="shared" si="252"/>
        <v>#N/A</v>
      </c>
      <c r="U442" s="2" t="e">
        <f t="shared" si="253"/>
        <v>#N/A</v>
      </c>
      <c r="V442" s="2" t="e">
        <f t="shared" si="254"/>
        <v>#N/A</v>
      </c>
      <c r="X442" s="2" t="e">
        <f t="shared" si="255"/>
        <v>#N/A</v>
      </c>
      <c r="Y442" s="2" t="e">
        <f t="shared" si="256"/>
        <v>#N/A</v>
      </c>
      <c r="AA442" s="2" t="e">
        <f t="shared" si="257"/>
        <v>#N/A</v>
      </c>
      <c r="AB442" s="2" t="e">
        <f t="shared" si="258"/>
        <v>#N/A</v>
      </c>
      <c r="BB442" s="5"/>
      <c r="BC442" s="5"/>
      <c r="BD442" s="5"/>
      <c r="BE442" s="5"/>
      <c r="BF442" s="5"/>
      <c r="BG442" s="5"/>
      <c r="BH442" s="5"/>
    </row>
    <row r="443" spans="1:60" s="2" customFormat="1">
      <c r="A443" s="70">
        <v>255</v>
      </c>
      <c r="C443" s="2" t="e">
        <f t="shared" si="241"/>
        <v>#N/A</v>
      </c>
      <c r="D443" s="2" t="e">
        <f t="shared" si="242"/>
        <v>#N/A</v>
      </c>
      <c r="F443" s="2" t="e">
        <f t="shared" si="243"/>
        <v>#N/A</v>
      </c>
      <c r="G443" s="2" t="e">
        <f t="shared" si="244"/>
        <v>#N/A</v>
      </c>
      <c r="I443" s="2" t="e">
        <f t="shared" si="245"/>
        <v>#N/A</v>
      </c>
      <c r="J443" s="2" t="e">
        <f t="shared" si="246"/>
        <v>#N/A</v>
      </c>
      <c r="L443" s="2" t="e">
        <f t="shared" si="247"/>
        <v>#N/A</v>
      </c>
      <c r="M443" s="2" t="e">
        <f t="shared" si="248"/>
        <v>#N/A</v>
      </c>
      <c r="O443" s="2" t="e">
        <f t="shared" si="249"/>
        <v>#N/A</v>
      </c>
      <c r="P443" s="2" t="e">
        <f t="shared" si="250"/>
        <v>#N/A</v>
      </c>
      <c r="R443" s="2" t="e">
        <f t="shared" si="251"/>
        <v>#N/A</v>
      </c>
      <c r="S443" s="2" t="e">
        <f t="shared" si="252"/>
        <v>#N/A</v>
      </c>
      <c r="U443" s="2" t="e">
        <f t="shared" si="253"/>
        <v>#N/A</v>
      </c>
      <c r="V443" s="2" t="e">
        <f t="shared" si="254"/>
        <v>#N/A</v>
      </c>
      <c r="X443" s="2" t="e">
        <f t="shared" si="255"/>
        <v>#N/A</v>
      </c>
      <c r="Y443" s="2" t="e">
        <f t="shared" si="256"/>
        <v>#N/A</v>
      </c>
      <c r="AA443" s="2" t="e">
        <f t="shared" si="257"/>
        <v>#N/A</v>
      </c>
      <c r="AB443" s="2" t="e">
        <f t="shared" si="258"/>
        <v>#N/A</v>
      </c>
      <c r="BB443" s="5"/>
      <c r="BC443" s="5"/>
      <c r="BD443" s="5"/>
      <c r="BE443" s="5"/>
      <c r="BF443" s="5"/>
      <c r="BG443" s="5"/>
      <c r="BH443" s="5"/>
    </row>
    <row r="444" spans="1:60" s="2" customFormat="1">
      <c r="A444" s="70">
        <v>270</v>
      </c>
      <c r="C444" s="2" t="e">
        <f t="shared" si="241"/>
        <v>#N/A</v>
      </c>
      <c r="D444" s="2" t="e">
        <f t="shared" si="242"/>
        <v>#N/A</v>
      </c>
      <c r="F444" s="2" t="e">
        <f t="shared" si="243"/>
        <v>#N/A</v>
      </c>
      <c r="G444" s="2" t="e">
        <f t="shared" si="244"/>
        <v>#N/A</v>
      </c>
      <c r="I444" s="2" t="e">
        <f t="shared" si="245"/>
        <v>#N/A</v>
      </c>
      <c r="J444" s="2" t="e">
        <f t="shared" si="246"/>
        <v>#N/A</v>
      </c>
      <c r="L444" s="2" t="e">
        <f t="shared" si="247"/>
        <v>#N/A</v>
      </c>
      <c r="M444" s="2" t="e">
        <f t="shared" si="248"/>
        <v>#N/A</v>
      </c>
      <c r="O444" s="2" t="e">
        <f t="shared" si="249"/>
        <v>#N/A</v>
      </c>
      <c r="P444" s="2" t="e">
        <f t="shared" si="250"/>
        <v>#N/A</v>
      </c>
      <c r="R444" s="2" t="e">
        <f t="shared" si="251"/>
        <v>#N/A</v>
      </c>
      <c r="S444" s="2" t="e">
        <f t="shared" si="252"/>
        <v>#N/A</v>
      </c>
      <c r="U444" s="2" t="e">
        <f t="shared" si="253"/>
        <v>#N/A</v>
      </c>
      <c r="V444" s="2" t="e">
        <f t="shared" si="254"/>
        <v>#N/A</v>
      </c>
      <c r="X444" s="2" t="e">
        <f t="shared" si="255"/>
        <v>#N/A</v>
      </c>
      <c r="Y444" s="2" t="e">
        <f t="shared" si="256"/>
        <v>#N/A</v>
      </c>
      <c r="AA444" s="2" t="e">
        <f t="shared" si="257"/>
        <v>#N/A</v>
      </c>
      <c r="AB444" s="2" t="e">
        <f t="shared" si="258"/>
        <v>#N/A</v>
      </c>
      <c r="BB444" s="5"/>
      <c r="BC444" s="5"/>
      <c r="BD444" s="5"/>
      <c r="BE444" s="5"/>
      <c r="BF444" s="5"/>
      <c r="BG444" s="5"/>
      <c r="BH444" s="5"/>
    </row>
    <row r="445" spans="1:60" s="2" customFormat="1">
      <c r="A445" s="70">
        <v>285</v>
      </c>
      <c r="C445" s="2" t="e">
        <f t="shared" si="241"/>
        <v>#N/A</v>
      </c>
      <c r="D445" s="2" t="e">
        <f t="shared" si="242"/>
        <v>#N/A</v>
      </c>
      <c r="F445" s="2" t="e">
        <f t="shared" si="243"/>
        <v>#N/A</v>
      </c>
      <c r="G445" s="2" t="e">
        <f t="shared" si="244"/>
        <v>#N/A</v>
      </c>
      <c r="I445" s="2" t="e">
        <f t="shared" si="245"/>
        <v>#N/A</v>
      </c>
      <c r="J445" s="2" t="e">
        <f t="shared" si="246"/>
        <v>#N/A</v>
      </c>
      <c r="L445" s="2" t="e">
        <f t="shared" si="247"/>
        <v>#N/A</v>
      </c>
      <c r="M445" s="2" t="e">
        <f t="shared" si="248"/>
        <v>#N/A</v>
      </c>
      <c r="O445" s="2" t="e">
        <f t="shared" si="249"/>
        <v>#N/A</v>
      </c>
      <c r="P445" s="2" t="e">
        <f t="shared" si="250"/>
        <v>#N/A</v>
      </c>
      <c r="R445" s="2" t="e">
        <f t="shared" si="251"/>
        <v>#N/A</v>
      </c>
      <c r="S445" s="2" t="e">
        <f t="shared" si="252"/>
        <v>#N/A</v>
      </c>
      <c r="U445" s="2" t="e">
        <f t="shared" si="253"/>
        <v>#N/A</v>
      </c>
      <c r="V445" s="2" t="e">
        <f t="shared" si="254"/>
        <v>#N/A</v>
      </c>
      <c r="X445" s="2" t="e">
        <f t="shared" si="255"/>
        <v>#N/A</v>
      </c>
      <c r="Y445" s="2" t="e">
        <f t="shared" si="256"/>
        <v>#N/A</v>
      </c>
      <c r="AA445" s="2" t="e">
        <f t="shared" si="257"/>
        <v>#N/A</v>
      </c>
      <c r="AB445" s="2" t="e">
        <f t="shared" si="258"/>
        <v>#N/A</v>
      </c>
      <c r="BB445" s="5"/>
      <c r="BC445" s="5"/>
      <c r="BD445" s="5"/>
      <c r="BE445" s="5"/>
      <c r="BF445" s="5"/>
      <c r="BG445" s="5"/>
      <c r="BH445" s="5"/>
    </row>
    <row r="446" spans="1:60" s="2" customFormat="1">
      <c r="A446" s="70">
        <v>300</v>
      </c>
      <c r="C446" s="2" t="e">
        <f t="shared" si="241"/>
        <v>#N/A</v>
      </c>
      <c r="D446" s="2" t="e">
        <f t="shared" si="242"/>
        <v>#N/A</v>
      </c>
      <c r="F446" s="2" t="e">
        <f t="shared" si="243"/>
        <v>#N/A</v>
      </c>
      <c r="G446" s="2" t="e">
        <f t="shared" si="244"/>
        <v>#N/A</v>
      </c>
      <c r="I446" s="2" t="e">
        <f t="shared" si="245"/>
        <v>#N/A</v>
      </c>
      <c r="J446" s="2" t="e">
        <f t="shared" si="246"/>
        <v>#N/A</v>
      </c>
      <c r="L446" s="2" t="e">
        <f t="shared" si="247"/>
        <v>#N/A</v>
      </c>
      <c r="M446" s="2" t="e">
        <f t="shared" si="248"/>
        <v>#N/A</v>
      </c>
      <c r="O446" s="2" t="e">
        <f t="shared" si="249"/>
        <v>#N/A</v>
      </c>
      <c r="P446" s="2" t="e">
        <f t="shared" si="250"/>
        <v>#N/A</v>
      </c>
      <c r="R446" s="2" t="e">
        <f t="shared" si="251"/>
        <v>#N/A</v>
      </c>
      <c r="S446" s="2" t="e">
        <f t="shared" si="252"/>
        <v>#N/A</v>
      </c>
      <c r="U446" s="2" t="e">
        <f t="shared" si="253"/>
        <v>#N/A</v>
      </c>
      <c r="V446" s="2" t="e">
        <f t="shared" si="254"/>
        <v>#N/A</v>
      </c>
      <c r="X446" s="2" t="e">
        <f t="shared" si="255"/>
        <v>#N/A</v>
      </c>
      <c r="Y446" s="2" t="e">
        <f t="shared" si="256"/>
        <v>#N/A</v>
      </c>
      <c r="AA446" s="2" t="e">
        <f t="shared" si="257"/>
        <v>#N/A</v>
      </c>
      <c r="AB446" s="2" t="e">
        <f t="shared" si="258"/>
        <v>#N/A</v>
      </c>
      <c r="BB446" s="5"/>
      <c r="BC446" s="5"/>
      <c r="BD446" s="5"/>
      <c r="BE446" s="5"/>
      <c r="BF446" s="5"/>
      <c r="BG446" s="5"/>
      <c r="BH446" s="5"/>
    </row>
    <row r="447" spans="1:60" s="2" customFormat="1">
      <c r="A447" s="70">
        <v>315</v>
      </c>
      <c r="C447" s="2" t="e">
        <f t="shared" si="241"/>
        <v>#N/A</v>
      </c>
      <c r="D447" s="2" t="e">
        <f t="shared" si="242"/>
        <v>#N/A</v>
      </c>
      <c r="F447" s="2" t="e">
        <f t="shared" si="243"/>
        <v>#N/A</v>
      </c>
      <c r="G447" s="2" t="e">
        <f t="shared" si="244"/>
        <v>#N/A</v>
      </c>
      <c r="I447" s="2" t="e">
        <f t="shared" si="245"/>
        <v>#N/A</v>
      </c>
      <c r="J447" s="2" t="e">
        <f t="shared" si="246"/>
        <v>#N/A</v>
      </c>
      <c r="L447" s="2" t="e">
        <f t="shared" si="247"/>
        <v>#N/A</v>
      </c>
      <c r="M447" s="2" t="e">
        <f t="shared" si="248"/>
        <v>#N/A</v>
      </c>
      <c r="O447" s="2" t="e">
        <f t="shared" si="249"/>
        <v>#N/A</v>
      </c>
      <c r="P447" s="2" t="e">
        <f t="shared" si="250"/>
        <v>#N/A</v>
      </c>
      <c r="R447" s="2" t="e">
        <f t="shared" si="251"/>
        <v>#N/A</v>
      </c>
      <c r="S447" s="2" t="e">
        <f t="shared" si="252"/>
        <v>#N/A</v>
      </c>
      <c r="U447" s="2" t="e">
        <f t="shared" si="253"/>
        <v>#N/A</v>
      </c>
      <c r="V447" s="2" t="e">
        <f t="shared" si="254"/>
        <v>#N/A</v>
      </c>
      <c r="X447" s="2" t="e">
        <f t="shared" si="255"/>
        <v>#N/A</v>
      </c>
      <c r="Y447" s="2" t="e">
        <f t="shared" si="256"/>
        <v>#N/A</v>
      </c>
      <c r="AA447" s="2" t="e">
        <f t="shared" si="257"/>
        <v>#N/A</v>
      </c>
      <c r="AB447" s="2" t="e">
        <f t="shared" si="258"/>
        <v>#N/A</v>
      </c>
      <c r="BB447" s="5"/>
      <c r="BC447" s="5"/>
      <c r="BD447" s="5"/>
      <c r="BE447" s="5"/>
      <c r="BF447" s="5"/>
      <c r="BG447" s="5"/>
      <c r="BH447" s="5"/>
    </row>
    <row r="448" spans="1:60" s="2" customFormat="1">
      <c r="A448" s="70">
        <v>330</v>
      </c>
      <c r="C448" s="2" t="e">
        <f t="shared" si="241"/>
        <v>#N/A</v>
      </c>
      <c r="D448" s="2" t="e">
        <f t="shared" si="242"/>
        <v>#N/A</v>
      </c>
      <c r="F448" s="2" t="e">
        <f t="shared" si="243"/>
        <v>#N/A</v>
      </c>
      <c r="G448" s="2" t="e">
        <f t="shared" si="244"/>
        <v>#N/A</v>
      </c>
      <c r="I448" s="2" t="e">
        <f t="shared" si="245"/>
        <v>#N/A</v>
      </c>
      <c r="J448" s="2" t="e">
        <f t="shared" si="246"/>
        <v>#N/A</v>
      </c>
      <c r="L448" s="2" t="e">
        <f t="shared" si="247"/>
        <v>#N/A</v>
      </c>
      <c r="M448" s="2" t="e">
        <f t="shared" si="248"/>
        <v>#N/A</v>
      </c>
      <c r="O448" s="2" t="e">
        <f t="shared" si="249"/>
        <v>#N/A</v>
      </c>
      <c r="P448" s="2" t="e">
        <f t="shared" si="250"/>
        <v>#N/A</v>
      </c>
      <c r="R448" s="2" t="e">
        <f t="shared" si="251"/>
        <v>#N/A</v>
      </c>
      <c r="S448" s="2" t="e">
        <f t="shared" si="252"/>
        <v>#N/A</v>
      </c>
      <c r="U448" s="2" t="e">
        <f t="shared" si="253"/>
        <v>#N/A</v>
      </c>
      <c r="V448" s="2" t="e">
        <f t="shared" si="254"/>
        <v>#N/A</v>
      </c>
      <c r="X448" s="2" t="e">
        <f t="shared" si="255"/>
        <v>#N/A</v>
      </c>
      <c r="Y448" s="2" t="e">
        <f t="shared" si="256"/>
        <v>#N/A</v>
      </c>
      <c r="AA448" s="2" t="e">
        <f t="shared" si="257"/>
        <v>#N/A</v>
      </c>
      <c r="AB448" s="2" t="e">
        <f t="shared" si="258"/>
        <v>#N/A</v>
      </c>
      <c r="BB448" s="5"/>
      <c r="BC448" s="5"/>
      <c r="BD448" s="5"/>
      <c r="BE448" s="5"/>
      <c r="BF448" s="5"/>
      <c r="BG448" s="5"/>
      <c r="BH448" s="5"/>
    </row>
    <row r="449" spans="1:60" s="2" customFormat="1">
      <c r="A449" s="70">
        <v>345</v>
      </c>
      <c r="C449" s="2" t="e">
        <f t="shared" si="241"/>
        <v>#N/A</v>
      </c>
      <c r="D449" s="2" t="e">
        <f t="shared" si="242"/>
        <v>#N/A</v>
      </c>
      <c r="F449" s="2" t="e">
        <f t="shared" si="243"/>
        <v>#N/A</v>
      </c>
      <c r="G449" s="2" t="e">
        <f t="shared" si="244"/>
        <v>#N/A</v>
      </c>
      <c r="I449" s="2" t="e">
        <f t="shared" si="245"/>
        <v>#N/A</v>
      </c>
      <c r="J449" s="2" t="e">
        <f t="shared" si="246"/>
        <v>#N/A</v>
      </c>
      <c r="L449" s="2" t="e">
        <f t="shared" si="247"/>
        <v>#N/A</v>
      </c>
      <c r="M449" s="2" t="e">
        <f t="shared" si="248"/>
        <v>#N/A</v>
      </c>
      <c r="O449" s="2" t="e">
        <f t="shared" si="249"/>
        <v>#N/A</v>
      </c>
      <c r="P449" s="2" t="e">
        <f t="shared" si="250"/>
        <v>#N/A</v>
      </c>
      <c r="R449" s="2" t="e">
        <f t="shared" si="251"/>
        <v>#N/A</v>
      </c>
      <c r="S449" s="2" t="e">
        <f t="shared" si="252"/>
        <v>#N/A</v>
      </c>
      <c r="U449" s="2" t="e">
        <f t="shared" si="253"/>
        <v>#N/A</v>
      </c>
      <c r="V449" s="2" t="e">
        <f t="shared" si="254"/>
        <v>#N/A</v>
      </c>
      <c r="X449" s="2" t="e">
        <f t="shared" si="255"/>
        <v>#N/A</v>
      </c>
      <c r="Y449" s="2" t="e">
        <f t="shared" si="256"/>
        <v>#N/A</v>
      </c>
      <c r="AA449" s="2" t="e">
        <f t="shared" si="257"/>
        <v>#N/A</v>
      </c>
      <c r="AB449" s="2" t="e">
        <f t="shared" si="258"/>
        <v>#N/A</v>
      </c>
      <c r="BB449" s="5"/>
      <c r="BC449" s="5"/>
      <c r="BD449" s="5"/>
      <c r="BE449" s="5"/>
      <c r="BF449" s="5"/>
      <c r="BG449" s="5"/>
      <c r="BH449" s="5"/>
    </row>
    <row r="450" spans="1:60" s="2" customFormat="1">
      <c r="A450" s="70">
        <v>360</v>
      </c>
      <c r="C450" s="2" t="e">
        <f t="shared" si="241"/>
        <v>#N/A</v>
      </c>
      <c r="D450" s="2" t="e">
        <f t="shared" si="242"/>
        <v>#N/A</v>
      </c>
      <c r="F450" s="2" t="e">
        <f t="shared" si="243"/>
        <v>#N/A</v>
      </c>
      <c r="G450" s="2" t="e">
        <f t="shared" si="244"/>
        <v>#N/A</v>
      </c>
      <c r="I450" s="2" t="e">
        <f t="shared" si="245"/>
        <v>#N/A</v>
      </c>
      <c r="J450" s="2" t="e">
        <f t="shared" si="246"/>
        <v>#N/A</v>
      </c>
      <c r="L450" s="2" t="e">
        <f t="shared" si="247"/>
        <v>#N/A</v>
      </c>
      <c r="M450" s="2" t="e">
        <f t="shared" si="248"/>
        <v>#N/A</v>
      </c>
      <c r="O450" s="2" t="e">
        <f t="shared" si="249"/>
        <v>#N/A</v>
      </c>
      <c r="P450" s="2" t="e">
        <f t="shared" si="250"/>
        <v>#N/A</v>
      </c>
      <c r="R450" s="2" t="e">
        <f t="shared" si="251"/>
        <v>#N/A</v>
      </c>
      <c r="S450" s="2" t="e">
        <f t="shared" si="252"/>
        <v>#N/A</v>
      </c>
      <c r="U450" s="2" t="e">
        <f t="shared" si="253"/>
        <v>#N/A</v>
      </c>
      <c r="V450" s="2" t="e">
        <f t="shared" si="254"/>
        <v>#N/A</v>
      </c>
      <c r="X450" s="2" t="e">
        <f t="shared" si="255"/>
        <v>#N/A</v>
      </c>
      <c r="Y450" s="2" t="e">
        <f t="shared" si="256"/>
        <v>#N/A</v>
      </c>
      <c r="AA450" s="2" t="e">
        <f t="shared" si="257"/>
        <v>#N/A</v>
      </c>
      <c r="AB450" s="2" t="e">
        <f t="shared" si="258"/>
        <v>#N/A</v>
      </c>
      <c r="BB450" s="5"/>
      <c r="BC450" s="5"/>
      <c r="BD450" s="5"/>
      <c r="BE450" s="5"/>
      <c r="BF450" s="5"/>
      <c r="BG450" s="5"/>
      <c r="BH450" s="5"/>
    </row>
    <row r="451" spans="1:60" s="2" customFormat="1">
      <c r="A451" s="70"/>
      <c r="BB451" s="5"/>
      <c r="BC451" s="5"/>
      <c r="BD451" s="5"/>
      <c r="BE451" s="5"/>
      <c r="BF451" s="5"/>
      <c r="BG451" s="5"/>
      <c r="BH451" s="5"/>
    </row>
    <row r="452" spans="1:60" s="2" customFormat="1">
      <c r="A452" s="70">
        <v>0</v>
      </c>
      <c r="B452" s="2">
        <v>6</v>
      </c>
      <c r="C452" s="2" t="e">
        <f t="shared" ref="C452:C476" si="259">IF(AND(AG$3,C$566&gt;0),(E$17+1)*COS($A452*PI()/180)+C$566,NA())</f>
        <v>#N/A</v>
      </c>
      <c r="D452" s="2" t="e">
        <f t="shared" ref="D452:D476" si="260">IF(AND(AG$3,C$566&gt;0),(E$17+1)*SIN($A452*PI()/180)+E$14,NA())</f>
        <v>#N/A</v>
      </c>
      <c r="F452" s="2" t="e">
        <f t="shared" ref="F452:F476" si="261">IF(AND(AH$3,F$566&gt;0),(H$17+1)*COS($A452*PI()/180)+F$566,NA())</f>
        <v>#N/A</v>
      </c>
      <c r="G452" s="2" t="e">
        <f t="shared" ref="G452:G476" si="262">IF(AND(AH$3,F$566&gt;0),(H$17+1)*SIN($A452*PI()/180)+H$14,NA())</f>
        <v>#N/A</v>
      </c>
      <c r="I452" s="2" t="e">
        <f t="shared" ref="I452:I476" si="263">IF(AND(AI$3,I$566&gt;0),(K$17+1)*COS($A452*PI()/180)+I$566,NA())</f>
        <v>#N/A</v>
      </c>
      <c r="J452" s="2" t="e">
        <f t="shared" ref="J452:J476" si="264">IF(AND(AI$3,I$566&gt;0),(K$17+1)*SIN($A452*PI()/180)+K$14,NA())</f>
        <v>#N/A</v>
      </c>
      <c r="L452" s="2" t="e">
        <f t="shared" ref="L452:L476" si="265">IF(AND(AJ$3,L$566&gt;0),(N$17+1)*COS($A452*PI()/180)+L$566,NA())</f>
        <v>#N/A</v>
      </c>
      <c r="M452" s="2" t="e">
        <f t="shared" ref="M452:M476" si="266">IF(AND(AJ$3,L$566&gt;0),(N$17+1)*SIN($A452*PI()/180)+N$14,NA())</f>
        <v>#N/A</v>
      </c>
      <c r="O452" s="2" t="e">
        <f t="shared" ref="O452:O476" si="267">IF(AND(AK$3,O$566&gt;0),(Q$17+1)*COS($A452*PI()/180)+O$566,NA())</f>
        <v>#N/A</v>
      </c>
      <c r="P452" s="2" t="e">
        <f t="shared" ref="P452:P476" si="268">IF(AND(AK$3,O$566&gt;0),(Q$17+1)*SIN($A452*PI()/180)+Q$14,NA())</f>
        <v>#N/A</v>
      </c>
      <c r="R452" s="2" t="e">
        <f t="shared" ref="R452:R476" si="269">IF(AND(AL$3,R$566&gt;0),(T$17+1)*COS($A452*PI()/180)+R$566,NA())</f>
        <v>#N/A</v>
      </c>
      <c r="S452" s="2" t="e">
        <f t="shared" ref="S452:S476" si="270">IF(AND(AL$3,R$566&gt;0),(T$17+1)*SIN($A452*PI()/180)+T$14,NA())</f>
        <v>#N/A</v>
      </c>
      <c r="U452" s="2" t="e">
        <f t="shared" ref="U452:U476" si="271">IF(AND(AM$3,U$566&gt;0),(W$17+1)*COS($A452*PI()/180)+U$566,NA())</f>
        <v>#N/A</v>
      </c>
      <c r="V452" s="2" t="e">
        <f t="shared" ref="V452:V476" si="272">IF(AND(AM$3,U$566&gt;0),(W$17+1)*SIN($A452*PI()/180)+W$14,NA())</f>
        <v>#N/A</v>
      </c>
      <c r="X452" s="2" t="e">
        <f t="shared" ref="X452:X476" si="273">IF(AND(AN$3,X$566&gt;0),(Z$17+1)*COS($A452*PI()/180)+X$566,NA())</f>
        <v>#N/A</v>
      </c>
      <c r="Y452" s="2" t="e">
        <f t="shared" ref="Y452:Y476" si="274">IF(AND(AN$3,X$566&gt;0),(Z$17+1)*SIN($A452*PI()/180)+Z$14,NA())</f>
        <v>#N/A</v>
      </c>
      <c r="AA452" s="2" t="e">
        <f t="shared" ref="AA452:AA476" si="275">IF(AND(AO$3,AA$566&gt;0),(AC$17+1)*COS($A452*PI()/180)+AA$566,NA())</f>
        <v>#N/A</v>
      </c>
      <c r="AB452" s="2" t="e">
        <f t="shared" ref="AB452:AB476" si="276">IF(AND(AO$3,AA$566&gt;0),(AC$17+1)*SIN($A452*PI()/180)+AC$14,NA())</f>
        <v>#N/A</v>
      </c>
      <c r="BB452" s="5"/>
      <c r="BC452" s="5"/>
      <c r="BD452" s="5"/>
      <c r="BE452" s="5"/>
      <c r="BF452" s="5"/>
      <c r="BG452" s="5"/>
      <c r="BH452" s="5"/>
    </row>
    <row r="453" spans="1:60" s="2" customFormat="1">
      <c r="A453" s="70">
        <v>15</v>
      </c>
      <c r="C453" s="2" t="e">
        <f t="shared" si="259"/>
        <v>#N/A</v>
      </c>
      <c r="D453" s="2" t="e">
        <f t="shared" si="260"/>
        <v>#N/A</v>
      </c>
      <c r="F453" s="2" t="e">
        <f t="shared" si="261"/>
        <v>#N/A</v>
      </c>
      <c r="G453" s="2" t="e">
        <f t="shared" si="262"/>
        <v>#N/A</v>
      </c>
      <c r="I453" s="2" t="e">
        <f t="shared" si="263"/>
        <v>#N/A</v>
      </c>
      <c r="J453" s="2" t="e">
        <f t="shared" si="264"/>
        <v>#N/A</v>
      </c>
      <c r="L453" s="2" t="e">
        <f t="shared" si="265"/>
        <v>#N/A</v>
      </c>
      <c r="M453" s="2" t="e">
        <f t="shared" si="266"/>
        <v>#N/A</v>
      </c>
      <c r="O453" s="2" t="e">
        <f t="shared" si="267"/>
        <v>#N/A</v>
      </c>
      <c r="P453" s="2" t="e">
        <f t="shared" si="268"/>
        <v>#N/A</v>
      </c>
      <c r="R453" s="2" t="e">
        <f t="shared" si="269"/>
        <v>#N/A</v>
      </c>
      <c r="S453" s="2" t="e">
        <f t="shared" si="270"/>
        <v>#N/A</v>
      </c>
      <c r="U453" s="2" t="e">
        <f t="shared" si="271"/>
        <v>#N/A</v>
      </c>
      <c r="V453" s="2" t="e">
        <f t="shared" si="272"/>
        <v>#N/A</v>
      </c>
      <c r="X453" s="2" t="e">
        <f t="shared" si="273"/>
        <v>#N/A</v>
      </c>
      <c r="Y453" s="2" t="e">
        <f t="shared" si="274"/>
        <v>#N/A</v>
      </c>
      <c r="AA453" s="2" t="e">
        <f t="shared" si="275"/>
        <v>#N/A</v>
      </c>
      <c r="AB453" s="2" t="e">
        <f t="shared" si="276"/>
        <v>#N/A</v>
      </c>
      <c r="BB453" s="5"/>
      <c r="BC453" s="5"/>
      <c r="BD453" s="5"/>
      <c r="BE453" s="5"/>
      <c r="BF453" s="5"/>
      <c r="BG453" s="5"/>
      <c r="BH453" s="5"/>
    </row>
    <row r="454" spans="1:60" s="2" customFormat="1">
      <c r="A454" s="70">
        <v>30</v>
      </c>
      <c r="C454" s="2" t="e">
        <f t="shared" si="259"/>
        <v>#N/A</v>
      </c>
      <c r="D454" s="2" t="e">
        <f t="shared" si="260"/>
        <v>#N/A</v>
      </c>
      <c r="F454" s="2" t="e">
        <f t="shared" si="261"/>
        <v>#N/A</v>
      </c>
      <c r="G454" s="2" t="e">
        <f t="shared" si="262"/>
        <v>#N/A</v>
      </c>
      <c r="I454" s="2" t="e">
        <f t="shared" si="263"/>
        <v>#N/A</v>
      </c>
      <c r="J454" s="2" t="e">
        <f t="shared" si="264"/>
        <v>#N/A</v>
      </c>
      <c r="L454" s="2" t="e">
        <f t="shared" si="265"/>
        <v>#N/A</v>
      </c>
      <c r="M454" s="2" t="e">
        <f t="shared" si="266"/>
        <v>#N/A</v>
      </c>
      <c r="O454" s="2" t="e">
        <f t="shared" si="267"/>
        <v>#N/A</v>
      </c>
      <c r="P454" s="2" t="e">
        <f t="shared" si="268"/>
        <v>#N/A</v>
      </c>
      <c r="R454" s="2" t="e">
        <f t="shared" si="269"/>
        <v>#N/A</v>
      </c>
      <c r="S454" s="2" t="e">
        <f t="shared" si="270"/>
        <v>#N/A</v>
      </c>
      <c r="U454" s="2" t="e">
        <f t="shared" si="271"/>
        <v>#N/A</v>
      </c>
      <c r="V454" s="2" t="e">
        <f t="shared" si="272"/>
        <v>#N/A</v>
      </c>
      <c r="X454" s="2" t="e">
        <f t="shared" si="273"/>
        <v>#N/A</v>
      </c>
      <c r="Y454" s="2" t="e">
        <f t="shared" si="274"/>
        <v>#N/A</v>
      </c>
      <c r="AA454" s="2" t="e">
        <f t="shared" si="275"/>
        <v>#N/A</v>
      </c>
      <c r="AB454" s="2" t="e">
        <f t="shared" si="276"/>
        <v>#N/A</v>
      </c>
      <c r="BB454" s="5"/>
      <c r="BC454" s="5"/>
      <c r="BD454" s="5"/>
      <c r="BE454" s="5"/>
      <c r="BF454" s="5"/>
      <c r="BG454" s="5"/>
      <c r="BH454" s="5"/>
    </row>
    <row r="455" spans="1:60" s="2" customFormat="1">
      <c r="A455" s="70">
        <v>45</v>
      </c>
      <c r="C455" s="2" t="e">
        <f t="shared" si="259"/>
        <v>#N/A</v>
      </c>
      <c r="D455" s="2" t="e">
        <f t="shared" si="260"/>
        <v>#N/A</v>
      </c>
      <c r="F455" s="2" t="e">
        <f t="shared" si="261"/>
        <v>#N/A</v>
      </c>
      <c r="G455" s="2" t="e">
        <f t="shared" si="262"/>
        <v>#N/A</v>
      </c>
      <c r="I455" s="2" t="e">
        <f t="shared" si="263"/>
        <v>#N/A</v>
      </c>
      <c r="J455" s="2" t="e">
        <f t="shared" si="264"/>
        <v>#N/A</v>
      </c>
      <c r="L455" s="2" t="e">
        <f t="shared" si="265"/>
        <v>#N/A</v>
      </c>
      <c r="M455" s="2" t="e">
        <f t="shared" si="266"/>
        <v>#N/A</v>
      </c>
      <c r="O455" s="2" t="e">
        <f t="shared" si="267"/>
        <v>#N/A</v>
      </c>
      <c r="P455" s="2" t="e">
        <f t="shared" si="268"/>
        <v>#N/A</v>
      </c>
      <c r="R455" s="2" t="e">
        <f t="shared" si="269"/>
        <v>#N/A</v>
      </c>
      <c r="S455" s="2" t="e">
        <f t="shared" si="270"/>
        <v>#N/A</v>
      </c>
      <c r="U455" s="2" t="e">
        <f t="shared" si="271"/>
        <v>#N/A</v>
      </c>
      <c r="V455" s="2" t="e">
        <f t="shared" si="272"/>
        <v>#N/A</v>
      </c>
      <c r="X455" s="2" t="e">
        <f t="shared" si="273"/>
        <v>#N/A</v>
      </c>
      <c r="Y455" s="2" t="e">
        <f t="shared" si="274"/>
        <v>#N/A</v>
      </c>
      <c r="AA455" s="2" t="e">
        <f t="shared" si="275"/>
        <v>#N/A</v>
      </c>
      <c r="AB455" s="2" t="e">
        <f t="shared" si="276"/>
        <v>#N/A</v>
      </c>
      <c r="BB455" s="5"/>
      <c r="BC455" s="5"/>
      <c r="BD455" s="5"/>
      <c r="BE455" s="5"/>
      <c r="BF455" s="5"/>
      <c r="BG455" s="5"/>
      <c r="BH455" s="5"/>
    </row>
    <row r="456" spans="1:60" s="2" customFormat="1">
      <c r="A456" s="70">
        <v>60</v>
      </c>
      <c r="C456" s="2" t="e">
        <f t="shared" si="259"/>
        <v>#N/A</v>
      </c>
      <c r="D456" s="2" t="e">
        <f t="shared" si="260"/>
        <v>#N/A</v>
      </c>
      <c r="F456" s="2" t="e">
        <f t="shared" si="261"/>
        <v>#N/A</v>
      </c>
      <c r="G456" s="2" t="e">
        <f t="shared" si="262"/>
        <v>#N/A</v>
      </c>
      <c r="I456" s="2" t="e">
        <f t="shared" si="263"/>
        <v>#N/A</v>
      </c>
      <c r="J456" s="2" t="e">
        <f t="shared" si="264"/>
        <v>#N/A</v>
      </c>
      <c r="L456" s="2" t="e">
        <f t="shared" si="265"/>
        <v>#N/A</v>
      </c>
      <c r="M456" s="2" t="e">
        <f t="shared" si="266"/>
        <v>#N/A</v>
      </c>
      <c r="O456" s="2" t="e">
        <f t="shared" si="267"/>
        <v>#N/A</v>
      </c>
      <c r="P456" s="2" t="e">
        <f t="shared" si="268"/>
        <v>#N/A</v>
      </c>
      <c r="R456" s="2" t="e">
        <f t="shared" si="269"/>
        <v>#N/A</v>
      </c>
      <c r="S456" s="2" t="e">
        <f t="shared" si="270"/>
        <v>#N/A</v>
      </c>
      <c r="U456" s="2" t="e">
        <f t="shared" si="271"/>
        <v>#N/A</v>
      </c>
      <c r="V456" s="2" t="e">
        <f t="shared" si="272"/>
        <v>#N/A</v>
      </c>
      <c r="X456" s="2" t="e">
        <f t="shared" si="273"/>
        <v>#N/A</v>
      </c>
      <c r="Y456" s="2" t="e">
        <f t="shared" si="274"/>
        <v>#N/A</v>
      </c>
      <c r="AA456" s="2" t="e">
        <f t="shared" si="275"/>
        <v>#N/A</v>
      </c>
      <c r="AB456" s="2" t="e">
        <f t="shared" si="276"/>
        <v>#N/A</v>
      </c>
      <c r="BB456" s="5"/>
      <c r="BC456" s="5"/>
      <c r="BD456" s="5"/>
      <c r="BE456" s="5"/>
      <c r="BF456" s="5"/>
      <c r="BG456" s="5"/>
      <c r="BH456" s="5"/>
    </row>
    <row r="457" spans="1:60" s="2" customFormat="1">
      <c r="A457" s="70">
        <v>75</v>
      </c>
      <c r="C457" s="2" t="e">
        <f t="shared" si="259"/>
        <v>#N/A</v>
      </c>
      <c r="D457" s="2" t="e">
        <f t="shared" si="260"/>
        <v>#N/A</v>
      </c>
      <c r="F457" s="2" t="e">
        <f t="shared" si="261"/>
        <v>#N/A</v>
      </c>
      <c r="G457" s="2" t="e">
        <f t="shared" si="262"/>
        <v>#N/A</v>
      </c>
      <c r="I457" s="2" t="e">
        <f t="shared" si="263"/>
        <v>#N/A</v>
      </c>
      <c r="J457" s="2" t="e">
        <f t="shared" si="264"/>
        <v>#N/A</v>
      </c>
      <c r="L457" s="2" t="e">
        <f t="shared" si="265"/>
        <v>#N/A</v>
      </c>
      <c r="M457" s="2" t="e">
        <f t="shared" si="266"/>
        <v>#N/A</v>
      </c>
      <c r="O457" s="2" t="e">
        <f t="shared" si="267"/>
        <v>#N/A</v>
      </c>
      <c r="P457" s="2" t="e">
        <f t="shared" si="268"/>
        <v>#N/A</v>
      </c>
      <c r="R457" s="2" t="e">
        <f t="shared" si="269"/>
        <v>#N/A</v>
      </c>
      <c r="S457" s="2" t="e">
        <f t="shared" si="270"/>
        <v>#N/A</v>
      </c>
      <c r="U457" s="2" t="e">
        <f t="shared" si="271"/>
        <v>#N/A</v>
      </c>
      <c r="V457" s="2" t="e">
        <f t="shared" si="272"/>
        <v>#N/A</v>
      </c>
      <c r="X457" s="2" t="e">
        <f t="shared" si="273"/>
        <v>#N/A</v>
      </c>
      <c r="Y457" s="2" t="e">
        <f t="shared" si="274"/>
        <v>#N/A</v>
      </c>
      <c r="AA457" s="2" t="e">
        <f t="shared" si="275"/>
        <v>#N/A</v>
      </c>
      <c r="AB457" s="2" t="e">
        <f t="shared" si="276"/>
        <v>#N/A</v>
      </c>
      <c r="BB457" s="5"/>
      <c r="BC457" s="5"/>
      <c r="BD457" s="5"/>
      <c r="BE457" s="5"/>
      <c r="BF457" s="5"/>
      <c r="BG457" s="5"/>
      <c r="BH457" s="5"/>
    </row>
    <row r="458" spans="1:60" s="2" customFormat="1">
      <c r="A458" s="70">
        <v>90</v>
      </c>
      <c r="C458" s="2" t="e">
        <f t="shared" si="259"/>
        <v>#N/A</v>
      </c>
      <c r="D458" s="2" t="e">
        <f t="shared" si="260"/>
        <v>#N/A</v>
      </c>
      <c r="F458" s="2" t="e">
        <f t="shared" si="261"/>
        <v>#N/A</v>
      </c>
      <c r="G458" s="2" t="e">
        <f t="shared" si="262"/>
        <v>#N/A</v>
      </c>
      <c r="I458" s="2" t="e">
        <f t="shared" si="263"/>
        <v>#N/A</v>
      </c>
      <c r="J458" s="2" t="e">
        <f t="shared" si="264"/>
        <v>#N/A</v>
      </c>
      <c r="L458" s="2" t="e">
        <f t="shared" si="265"/>
        <v>#N/A</v>
      </c>
      <c r="M458" s="2" t="e">
        <f t="shared" si="266"/>
        <v>#N/A</v>
      </c>
      <c r="O458" s="2" t="e">
        <f t="shared" si="267"/>
        <v>#N/A</v>
      </c>
      <c r="P458" s="2" t="e">
        <f t="shared" si="268"/>
        <v>#N/A</v>
      </c>
      <c r="R458" s="2" t="e">
        <f t="shared" si="269"/>
        <v>#N/A</v>
      </c>
      <c r="S458" s="2" t="e">
        <f t="shared" si="270"/>
        <v>#N/A</v>
      </c>
      <c r="U458" s="2" t="e">
        <f t="shared" si="271"/>
        <v>#N/A</v>
      </c>
      <c r="V458" s="2" t="e">
        <f t="shared" si="272"/>
        <v>#N/A</v>
      </c>
      <c r="X458" s="2" t="e">
        <f t="shared" si="273"/>
        <v>#N/A</v>
      </c>
      <c r="Y458" s="2" t="e">
        <f t="shared" si="274"/>
        <v>#N/A</v>
      </c>
      <c r="AA458" s="2" t="e">
        <f t="shared" si="275"/>
        <v>#N/A</v>
      </c>
      <c r="AB458" s="2" t="e">
        <f t="shared" si="276"/>
        <v>#N/A</v>
      </c>
      <c r="BB458" s="5"/>
      <c r="BC458" s="5"/>
      <c r="BD458" s="5"/>
      <c r="BE458" s="5"/>
      <c r="BF458" s="5"/>
      <c r="BG458" s="5"/>
      <c r="BH458" s="5"/>
    </row>
    <row r="459" spans="1:60" s="2" customFormat="1">
      <c r="A459" s="70">
        <v>105</v>
      </c>
      <c r="C459" s="2" t="e">
        <f t="shared" si="259"/>
        <v>#N/A</v>
      </c>
      <c r="D459" s="2" t="e">
        <f t="shared" si="260"/>
        <v>#N/A</v>
      </c>
      <c r="F459" s="2" t="e">
        <f t="shared" si="261"/>
        <v>#N/A</v>
      </c>
      <c r="G459" s="2" t="e">
        <f t="shared" si="262"/>
        <v>#N/A</v>
      </c>
      <c r="I459" s="2" t="e">
        <f t="shared" si="263"/>
        <v>#N/A</v>
      </c>
      <c r="J459" s="2" t="e">
        <f t="shared" si="264"/>
        <v>#N/A</v>
      </c>
      <c r="L459" s="2" t="e">
        <f t="shared" si="265"/>
        <v>#N/A</v>
      </c>
      <c r="M459" s="2" t="e">
        <f t="shared" si="266"/>
        <v>#N/A</v>
      </c>
      <c r="O459" s="2" t="e">
        <f t="shared" si="267"/>
        <v>#N/A</v>
      </c>
      <c r="P459" s="2" t="e">
        <f t="shared" si="268"/>
        <v>#N/A</v>
      </c>
      <c r="R459" s="2" t="e">
        <f t="shared" si="269"/>
        <v>#N/A</v>
      </c>
      <c r="S459" s="2" t="e">
        <f t="shared" si="270"/>
        <v>#N/A</v>
      </c>
      <c r="U459" s="2" t="e">
        <f t="shared" si="271"/>
        <v>#N/A</v>
      </c>
      <c r="V459" s="2" t="e">
        <f t="shared" si="272"/>
        <v>#N/A</v>
      </c>
      <c r="X459" s="2" t="e">
        <f t="shared" si="273"/>
        <v>#N/A</v>
      </c>
      <c r="Y459" s="2" t="e">
        <f t="shared" si="274"/>
        <v>#N/A</v>
      </c>
      <c r="AA459" s="2" t="e">
        <f t="shared" si="275"/>
        <v>#N/A</v>
      </c>
      <c r="AB459" s="2" t="e">
        <f t="shared" si="276"/>
        <v>#N/A</v>
      </c>
      <c r="BB459" s="5"/>
      <c r="BC459" s="5"/>
      <c r="BD459" s="5"/>
      <c r="BE459" s="5"/>
      <c r="BF459" s="5"/>
      <c r="BG459" s="5"/>
      <c r="BH459" s="5"/>
    </row>
    <row r="460" spans="1:60" s="2" customFormat="1">
      <c r="A460" s="70">
        <v>120</v>
      </c>
      <c r="C460" s="2" t="e">
        <f t="shared" si="259"/>
        <v>#N/A</v>
      </c>
      <c r="D460" s="2" t="e">
        <f t="shared" si="260"/>
        <v>#N/A</v>
      </c>
      <c r="F460" s="2" t="e">
        <f t="shared" si="261"/>
        <v>#N/A</v>
      </c>
      <c r="G460" s="2" t="e">
        <f t="shared" si="262"/>
        <v>#N/A</v>
      </c>
      <c r="I460" s="2" t="e">
        <f t="shared" si="263"/>
        <v>#N/A</v>
      </c>
      <c r="J460" s="2" t="e">
        <f t="shared" si="264"/>
        <v>#N/A</v>
      </c>
      <c r="L460" s="2" t="e">
        <f t="shared" si="265"/>
        <v>#N/A</v>
      </c>
      <c r="M460" s="2" t="e">
        <f t="shared" si="266"/>
        <v>#N/A</v>
      </c>
      <c r="O460" s="2" t="e">
        <f t="shared" si="267"/>
        <v>#N/A</v>
      </c>
      <c r="P460" s="2" t="e">
        <f t="shared" si="268"/>
        <v>#N/A</v>
      </c>
      <c r="R460" s="2" t="e">
        <f t="shared" si="269"/>
        <v>#N/A</v>
      </c>
      <c r="S460" s="2" t="e">
        <f t="shared" si="270"/>
        <v>#N/A</v>
      </c>
      <c r="U460" s="2" t="e">
        <f t="shared" si="271"/>
        <v>#N/A</v>
      </c>
      <c r="V460" s="2" t="e">
        <f t="shared" si="272"/>
        <v>#N/A</v>
      </c>
      <c r="X460" s="2" t="e">
        <f t="shared" si="273"/>
        <v>#N/A</v>
      </c>
      <c r="Y460" s="2" t="e">
        <f t="shared" si="274"/>
        <v>#N/A</v>
      </c>
      <c r="AA460" s="2" t="e">
        <f t="shared" si="275"/>
        <v>#N/A</v>
      </c>
      <c r="AB460" s="2" t="e">
        <f t="shared" si="276"/>
        <v>#N/A</v>
      </c>
    </row>
    <row r="461" spans="1:60" s="2" customFormat="1">
      <c r="A461" s="70">
        <v>135</v>
      </c>
      <c r="C461" s="2" t="e">
        <f t="shared" si="259"/>
        <v>#N/A</v>
      </c>
      <c r="D461" s="2" t="e">
        <f t="shared" si="260"/>
        <v>#N/A</v>
      </c>
      <c r="F461" s="2" t="e">
        <f t="shared" si="261"/>
        <v>#N/A</v>
      </c>
      <c r="G461" s="2" t="e">
        <f t="shared" si="262"/>
        <v>#N/A</v>
      </c>
      <c r="I461" s="2" t="e">
        <f t="shared" si="263"/>
        <v>#N/A</v>
      </c>
      <c r="J461" s="2" t="e">
        <f t="shared" si="264"/>
        <v>#N/A</v>
      </c>
      <c r="L461" s="2" t="e">
        <f t="shared" si="265"/>
        <v>#N/A</v>
      </c>
      <c r="M461" s="2" t="e">
        <f t="shared" si="266"/>
        <v>#N/A</v>
      </c>
      <c r="O461" s="2" t="e">
        <f t="shared" si="267"/>
        <v>#N/A</v>
      </c>
      <c r="P461" s="2" t="e">
        <f t="shared" si="268"/>
        <v>#N/A</v>
      </c>
      <c r="R461" s="2" t="e">
        <f t="shared" si="269"/>
        <v>#N/A</v>
      </c>
      <c r="S461" s="2" t="e">
        <f t="shared" si="270"/>
        <v>#N/A</v>
      </c>
      <c r="U461" s="2" t="e">
        <f t="shared" si="271"/>
        <v>#N/A</v>
      </c>
      <c r="V461" s="2" t="e">
        <f t="shared" si="272"/>
        <v>#N/A</v>
      </c>
      <c r="X461" s="2" t="e">
        <f t="shared" si="273"/>
        <v>#N/A</v>
      </c>
      <c r="Y461" s="2" t="e">
        <f t="shared" si="274"/>
        <v>#N/A</v>
      </c>
      <c r="AA461" s="2" t="e">
        <f t="shared" si="275"/>
        <v>#N/A</v>
      </c>
      <c r="AB461" s="2" t="e">
        <f t="shared" si="276"/>
        <v>#N/A</v>
      </c>
    </row>
    <row r="462" spans="1:60" s="2" customFormat="1">
      <c r="A462" s="70">
        <v>150</v>
      </c>
      <c r="C462" s="2" t="e">
        <f t="shared" si="259"/>
        <v>#N/A</v>
      </c>
      <c r="D462" s="2" t="e">
        <f t="shared" si="260"/>
        <v>#N/A</v>
      </c>
      <c r="F462" s="2" t="e">
        <f t="shared" si="261"/>
        <v>#N/A</v>
      </c>
      <c r="G462" s="2" t="e">
        <f t="shared" si="262"/>
        <v>#N/A</v>
      </c>
      <c r="I462" s="2" t="e">
        <f t="shared" si="263"/>
        <v>#N/A</v>
      </c>
      <c r="J462" s="2" t="e">
        <f t="shared" si="264"/>
        <v>#N/A</v>
      </c>
      <c r="L462" s="2" t="e">
        <f t="shared" si="265"/>
        <v>#N/A</v>
      </c>
      <c r="M462" s="2" t="e">
        <f t="shared" si="266"/>
        <v>#N/A</v>
      </c>
      <c r="O462" s="2" t="e">
        <f t="shared" si="267"/>
        <v>#N/A</v>
      </c>
      <c r="P462" s="2" t="e">
        <f t="shared" si="268"/>
        <v>#N/A</v>
      </c>
      <c r="R462" s="2" t="e">
        <f t="shared" si="269"/>
        <v>#N/A</v>
      </c>
      <c r="S462" s="2" t="e">
        <f t="shared" si="270"/>
        <v>#N/A</v>
      </c>
      <c r="U462" s="2" t="e">
        <f t="shared" si="271"/>
        <v>#N/A</v>
      </c>
      <c r="V462" s="2" t="e">
        <f t="shared" si="272"/>
        <v>#N/A</v>
      </c>
      <c r="X462" s="2" t="e">
        <f t="shared" si="273"/>
        <v>#N/A</v>
      </c>
      <c r="Y462" s="2" t="e">
        <f t="shared" si="274"/>
        <v>#N/A</v>
      </c>
      <c r="AA462" s="2" t="e">
        <f t="shared" si="275"/>
        <v>#N/A</v>
      </c>
      <c r="AB462" s="2" t="e">
        <f t="shared" si="276"/>
        <v>#N/A</v>
      </c>
    </row>
    <row r="463" spans="1:60" s="2" customFormat="1">
      <c r="A463" s="70">
        <v>165</v>
      </c>
      <c r="C463" s="2" t="e">
        <f t="shared" si="259"/>
        <v>#N/A</v>
      </c>
      <c r="D463" s="2" t="e">
        <f t="shared" si="260"/>
        <v>#N/A</v>
      </c>
      <c r="F463" s="2" t="e">
        <f t="shared" si="261"/>
        <v>#N/A</v>
      </c>
      <c r="G463" s="2" t="e">
        <f t="shared" si="262"/>
        <v>#N/A</v>
      </c>
      <c r="I463" s="2" t="e">
        <f t="shared" si="263"/>
        <v>#N/A</v>
      </c>
      <c r="J463" s="2" t="e">
        <f t="shared" si="264"/>
        <v>#N/A</v>
      </c>
      <c r="L463" s="2" t="e">
        <f t="shared" si="265"/>
        <v>#N/A</v>
      </c>
      <c r="M463" s="2" t="e">
        <f t="shared" si="266"/>
        <v>#N/A</v>
      </c>
      <c r="O463" s="2" t="e">
        <f t="shared" si="267"/>
        <v>#N/A</v>
      </c>
      <c r="P463" s="2" t="e">
        <f t="shared" si="268"/>
        <v>#N/A</v>
      </c>
      <c r="R463" s="2" t="e">
        <f t="shared" si="269"/>
        <v>#N/A</v>
      </c>
      <c r="S463" s="2" t="e">
        <f t="shared" si="270"/>
        <v>#N/A</v>
      </c>
      <c r="U463" s="2" t="e">
        <f t="shared" si="271"/>
        <v>#N/A</v>
      </c>
      <c r="V463" s="2" t="e">
        <f t="shared" si="272"/>
        <v>#N/A</v>
      </c>
      <c r="X463" s="2" t="e">
        <f t="shared" si="273"/>
        <v>#N/A</v>
      </c>
      <c r="Y463" s="2" t="e">
        <f t="shared" si="274"/>
        <v>#N/A</v>
      </c>
      <c r="AA463" s="2" t="e">
        <f t="shared" si="275"/>
        <v>#N/A</v>
      </c>
      <c r="AB463" s="2" t="e">
        <f t="shared" si="276"/>
        <v>#N/A</v>
      </c>
    </row>
    <row r="464" spans="1:60" s="2" customFormat="1">
      <c r="A464" s="70">
        <v>180</v>
      </c>
      <c r="C464" s="2" t="e">
        <f t="shared" si="259"/>
        <v>#N/A</v>
      </c>
      <c r="D464" s="2" t="e">
        <f t="shared" si="260"/>
        <v>#N/A</v>
      </c>
      <c r="F464" s="2" t="e">
        <f t="shared" si="261"/>
        <v>#N/A</v>
      </c>
      <c r="G464" s="2" t="e">
        <f t="shared" si="262"/>
        <v>#N/A</v>
      </c>
      <c r="I464" s="2" t="e">
        <f t="shared" si="263"/>
        <v>#N/A</v>
      </c>
      <c r="J464" s="2" t="e">
        <f t="shared" si="264"/>
        <v>#N/A</v>
      </c>
      <c r="L464" s="2" t="e">
        <f t="shared" si="265"/>
        <v>#N/A</v>
      </c>
      <c r="M464" s="2" t="e">
        <f t="shared" si="266"/>
        <v>#N/A</v>
      </c>
      <c r="O464" s="2" t="e">
        <f t="shared" si="267"/>
        <v>#N/A</v>
      </c>
      <c r="P464" s="2" t="e">
        <f t="shared" si="268"/>
        <v>#N/A</v>
      </c>
      <c r="R464" s="2" t="e">
        <f t="shared" si="269"/>
        <v>#N/A</v>
      </c>
      <c r="S464" s="2" t="e">
        <f t="shared" si="270"/>
        <v>#N/A</v>
      </c>
      <c r="U464" s="2" t="e">
        <f t="shared" si="271"/>
        <v>#N/A</v>
      </c>
      <c r="V464" s="2" t="e">
        <f t="shared" si="272"/>
        <v>#N/A</v>
      </c>
      <c r="X464" s="2" t="e">
        <f t="shared" si="273"/>
        <v>#N/A</v>
      </c>
      <c r="Y464" s="2" t="e">
        <f t="shared" si="274"/>
        <v>#N/A</v>
      </c>
      <c r="AA464" s="2" t="e">
        <f t="shared" si="275"/>
        <v>#N/A</v>
      </c>
      <c r="AB464" s="2" t="e">
        <f t="shared" si="276"/>
        <v>#N/A</v>
      </c>
    </row>
    <row r="465" spans="1:28" s="2" customFormat="1">
      <c r="A465" s="70">
        <v>195</v>
      </c>
      <c r="C465" s="2" t="e">
        <f t="shared" si="259"/>
        <v>#N/A</v>
      </c>
      <c r="D465" s="2" t="e">
        <f t="shared" si="260"/>
        <v>#N/A</v>
      </c>
      <c r="F465" s="2" t="e">
        <f t="shared" si="261"/>
        <v>#N/A</v>
      </c>
      <c r="G465" s="2" t="e">
        <f t="shared" si="262"/>
        <v>#N/A</v>
      </c>
      <c r="I465" s="2" t="e">
        <f t="shared" si="263"/>
        <v>#N/A</v>
      </c>
      <c r="J465" s="2" t="e">
        <f t="shared" si="264"/>
        <v>#N/A</v>
      </c>
      <c r="L465" s="2" t="e">
        <f t="shared" si="265"/>
        <v>#N/A</v>
      </c>
      <c r="M465" s="2" t="e">
        <f t="shared" si="266"/>
        <v>#N/A</v>
      </c>
      <c r="O465" s="2" t="e">
        <f t="shared" si="267"/>
        <v>#N/A</v>
      </c>
      <c r="P465" s="2" t="e">
        <f t="shared" si="268"/>
        <v>#N/A</v>
      </c>
      <c r="R465" s="2" t="e">
        <f t="shared" si="269"/>
        <v>#N/A</v>
      </c>
      <c r="S465" s="2" t="e">
        <f t="shared" si="270"/>
        <v>#N/A</v>
      </c>
      <c r="U465" s="2" t="e">
        <f t="shared" si="271"/>
        <v>#N/A</v>
      </c>
      <c r="V465" s="2" t="e">
        <f t="shared" si="272"/>
        <v>#N/A</v>
      </c>
      <c r="X465" s="2" t="e">
        <f t="shared" si="273"/>
        <v>#N/A</v>
      </c>
      <c r="Y465" s="2" t="e">
        <f t="shared" si="274"/>
        <v>#N/A</v>
      </c>
      <c r="AA465" s="2" t="e">
        <f t="shared" si="275"/>
        <v>#N/A</v>
      </c>
      <c r="AB465" s="2" t="e">
        <f t="shared" si="276"/>
        <v>#N/A</v>
      </c>
    </row>
    <row r="466" spans="1:28" s="2" customFormat="1">
      <c r="A466" s="70">
        <v>210</v>
      </c>
      <c r="C466" s="2" t="e">
        <f t="shared" si="259"/>
        <v>#N/A</v>
      </c>
      <c r="D466" s="2" t="e">
        <f t="shared" si="260"/>
        <v>#N/A</v>
      </c>
      <c r="F466" s="2" t="e">
        <f t="shared" si="261"/>
        <v>#N/A</v>
      </c>
      <c r="G466" s="2" t="e">
        <f t="shared" si="262"/>
        <v>#N/A</v>
      </c>
      <c r="I466" s="2" t="e">
        <f t="shared" si="263"/>
        <v>#N/A</v>
      </c>
      <c r="J466" s="2" t="e">
        <f t="shared" si="264"/>
        <v>#N/A</v>
      </c>
      <c r="L466" s="2" t="e">
        <f t="shared" si="265"/>
        <v>#N/A</v>
      </c>
      <c r="M466" s="2" t="e">
        <f t="shared" si="266"/>
        <v>#N/A</v>
      </c>
      <c r="O466" s="2" t="e">
        <f t="shared" si="267"/>
        <v>#N/A</v>
      </c>
      <c r="P466" s="2" t="e">
        <f t="shared" si="268"/>
        <v>#N/A</v>
      </c>
      <c r="R466" s="2" t="e">
        <f t="shared" si="269"/>
        <v>#N/A</v>
      </c>
      <c r="S466" s="2" t="e">
        <f t="shared" si="270"/>
        <v>#N/A</v>
      </c>
      <c r="U466" s="2" t="e">
        <f t="shared" si="271"/>
        <v>#N/A</v>
      </c>
      <c r="V466" s="2" t="e">
        <f t="shared" si="272"/>
        <v>#N/A</v>
      </c>
      <c r="X466" s="2" t="e">
        <f t="shared" si="273"/>
        <v>#N/A</v>
      </c>
      <c r="Y466" s="2" t="e">
        <f t="shared" si="274"/>
        <v>#N/A</v>
      </c>
      <c r="AA466" s="2" t="e">
        <f t="shared" si="275"/>
        <v>#N/A</v>
      </c>
      <c r="AB466" s="2" t="e">
        <f t="shared" si="276"/>
        <v>#N/A</v>
      </c>
    </row>
    <row r="467" spans="1:28" s="2" customFormat="1">
      <c r="A467" s="70">
        <v>225</v>
      </c>
      <c r="C467" s="2" t="e">
        <f t="shared" si="259"/>
        <v>#N/A</v>
      </c>
      <c r="D467" s="2" t="e">
        <f t="shared" si="260"/>
        <v>#N/A</v>
      </c>
      <c r="F467" s="2" t="e">
        <f t="shared" si="261"/>
        <v>#N/A</v>
      </c>
      <c r="G467" s="2" t="e">
        <f t="shared" si="262"/>
        <v>#N/A</v>
      </c>
      <c r="I467" s="2" t="e">
        <f t="shared" si="263"/>
        <v>#N/A</v>
      </c>
      <c r="J467" s="2" t="e">
        <f t="shared" si="264"/>
        <v>#N/A</v>
      </c>
      <c r="L467" s="2" t="e">
        <f t="shared" si="265"/>
        <v>#N/A</v>
      </c>
      <c r="M467" s="2" t="e">
        <f t="shared" si="266"/>
        <v>#N/A</v>
      </c>
      <c r="O467" s="2" t="e">
        <f t="shared" si="267"/>
        <v>#N/A</v>
      </c>
      <c r="P467" s="2" t="e">
        <f t="shared" si="268"/>
        <v>#N/A</v>
      </c>
      <c r="R467" s="2" t="e">
        <f t="shared" si="269"/>
        <v>#N/A</v>
      </c>
      <c r="S467" s="2" t="e">
        <f t="shared" si="270"/>
        <v>#N/A</v>
      </c>
      <c r="U467" s="2" t="e">
        <f t="shared" si="271"/>
        <v>#N/A</v>
      </c>
      <c r="V467" s="2" t="e">
        <f t="shared" si="272"/>
        <v>#N/A</v>
      </c>
      <c r="X467" s="2" t="e">
        <f t="shared" si="273"/>
        <v>#N/A</v>
      </c>
      <c r="Y467" s="2" t="e">
        <f t="shared" si="274"/>
        <v>#N/A</v>
      </c>
      <c r="AA467" s="2" t="e">
        <f t="shared" si="275"/>
        <v>#N/A</v>
      </c>
      <c r="AB467" s="2" t="e">
        <f t="shared" si="276"/>
        <v>#N/A</v>
      </c>
    </row>
    <row r="468" spans="1:28" s="2" customFormat="1">
      <c r="A468" s="70">
        <v>240</v>
      </c>
      <c r="C468" s="2" t="e">
        <f t="shared" si="259"/>
        <v>#N/A</v>
      </c>
      <c r="D468" s="2" t="e">
        <f t="shared" si="260"/>
        <v>#N/A</v>
      </c>
      <c r="F468" s="2" t="e">
        <f t="shared" si="261"/>
        <v>#N/A</v>
      </c>
      <c r="G468" s="2" t="e">
        <f t="shared" si="262"/>
        <v>#N/A</v>
      </c>
      <c r="I468" s="2" t="e">
        <f t="shared" si="263"/>
        <v>#N/A</v>
      </c>
      <c r="J468" s="2" t="e">
        <f t="shared" si="264"/>
        <v>#N/A</v>
      </c>
      <c r="L468" s="2" t="e">
        <f t="shared" si="265"/>
        <v>#N/A</v>
      </c>
      <c r="M468" s="2" t="e">
        <f t="shared" si="266"/>
        <v>#N/A</v>
      </c>
      <c r="O468" s="2" t="e">
        <f t="shared" si="267"/>
        <v>#N/A</v>
      </c>
      <c r="P468" s="2" t="e">
        <f t="shared" si="268"/>
        <v>#N/A</v>
      </c>
      <c r="R468" s="2" t="e">
        <f t="shared" si="269"/>
        <v>#N/A</v>
      </c>
      <c r="S468" s="2" t="e">
        <f t="shared" si="270"/>
        <v>#N/A</v>
      </c>
      <c r="U468" s="2" t="e">
        <f t="shared" si="271"/>
        <v>#N/A</v>
      </c>
      <c r="V468" s="2" t="e">
        <f t="shared" si="272"/>
        <v>#N/A</v>
      </c>
      <c r="X468" s="2" t="e">
        <f t="shared" si="273"/>
        <v>#N/A</v>
      </c>
      <c r="Y468" s="2" t="e">
        <f t="shared" si="274"/>
        <v>#N/A</v>
      </c>
      <c r="AA468" s="2" t="e">
        <f t="shared" si="275"/>
        <v>#N/A</v>
      </c>
      <c r="AB468" s="2" t="e">
        <f t="shared" si="276"/>
        <v>#N/A</v>
      </c>
    </row>
    <row r="469" spans="1:28" s="2" customFormat="1">
      <c r="A469" s="70">
        <v>255</v>
      </c>
      <c r="C469" s="2" t="e">
        <f t="shared" si="259"/>
        <v>#N/A</v>
      </c>
      <c r="D469" s="2" t="e">
        <f t="shared" si="260"/>
        <v>#N/A</v>
      </c>
      <c r="F469" s="2" t="e">
        <f t="shared" si="261"/>
        <v>#N/A</v>
      </c>
      <c r="G469" s="2" t="e">
        <f t="shared" si="262"/>
        <v>#N/A</v>
      </c>
      <c r="I469" s="2" t="e">
        <f t="shared" si="263"/>
        <v>#N/A</v>
      </c>
      <c r="J469" s="2" t="e">
        <f t="shared" si="264"/>
        <v>#N/A</v>
      </c>
      <c r="L469" s="2" t="e">
        <f t="shared" si="265"/>
        <v>#N/A</v>
      </c>
      <c r="M469" s="2" t="e">
        <f t="shared" si="266"/>
        <v>#N/A</v>
      </c>
      <c r="O469" s="2" t="e">
        <f t="shared" si="267"/>
        <v>#N/A</v>
      </c>
      <c r="P469" s="2" t="e">
        <f t="shared" si="268"/>
        <v>#N/A</v>
      </c>
      <c r="R469" s="2" t="e">
        <f t="shared" si="269"/>
        <v>#N/A</v>
      </c>
      <c r="S469" s="2" t="e">
        <f t="shared" si="270"/>
        <v>#N/A</v>
      </c>
      <c r="U469" s="2" t="e">
        <f t="shared" si="271"/>
        <v>#N/A</v>
      </c>
      <c r="V469" s="2" t="e">
        <f t="shared" si="272"/>
        <v>#N/A</v>
      </c>
      <c r="X469" s="2" t="e">
        <f t="shared" si="273"/>
        <v>#N/A</v>
      </c>
      <c r="Y469" s="2" t="e">
        <f t="shared" si="274"/>
        <v>#N/A</v>
      </c>
      <c r="AA469" s="2" t="e">
        <f t="shared" si="275"/>
        <v>#N/A</v>
      </c>
      <c r="AB469" s="2" t="e">
        <f t="shared" si="276"/>
        <v>#N/A</v>
      </c>
    </row>
    <row r="470" spans="1:28" s="2" customFormat="1">
      <c r="A470" s="70">
        <v>270</v>
      </c>
      <c r="C470" s="2" t="e">
        <f t="shared" si="259"/>
        <v>#N/A</v>
      </c>
      <c r="D470" s="2" t="e">
        <f t="shared" si="260"/>
        <v>#N/A</v>
      </c>
      <c r="F470" s="2" t="e">
        <f t="shared" si="261"/>
        <v>#N/A</v>
      </c>
      <c r="G470" s="2" t="e">
        <f t="shared" si="262"/>
        <v>#N/A</v>
      </c>
      <c r="I470" s="2" t="e">
        <f t="shared" si="263"/>
        <v>#N/A</v>
      </c>
      <c r="J470" s="2" t="e">
        <f t="shared" si="264"/>
        <v>#N/A</v>
      </c>
      <c r="L470" s="2" t="e">
        <f t="shared" si="265"/>
        <v>#N/A</v>
      </c>
      <c r="M470" s="2" t="e">
        <f t="shared" si="266"/>
        <v>#N/A</v>
      </c>
      <c r="O470" s="2" t="e">
        <f t="shared" si="267"/>
        <v>#N/A</v>
      </c>
      <c r="P470" s="2" t="e">
        <f t="shared" si="268"/>
        <v>#N/A</v>
      </c>
      <c r="R470" s="2" t="e">
        <f t="shared" si="269"/>
        <v>#N/A</v>
      </c>
      <c r="S470" s="2" t="e">
        <f t="shared" si="270"/>
        <v>#N/A</v>
      </c>
      <c r="U470" s="2" t="e">
        <f t="shared" si="271"/>
        <v>#N/A</v>
      </c>
      <c r="V470" s="2" t="e">
        <f t="shared" si="272"/>
        <v>#N/A</v>
      </c>
      <c r="X470" s="2" t="e">
        <f t="shared" si="273"/>
        <v>#N/A</v>
      </c>
      <c r="Y470" s="2" t="e">
        <f t="shared" si="274"/>
        <v>#N/A</v>
      </c>
      <c r="AA470" s="2" t="e">
        <f t="shared" si="275"/>
        <v>#N/A</v>
      </c>
      <c r="AB470" s="2" t="e">
        <f t="shared" si="276"/>
        <v>#N/A</v>
      </c>
    </row>
    <row r="471" spans="1:28" s="2" customFormat="1">
      <c r="A471" s="70">
        <v>285</v>
      </c>
      <c r="C471" s="2" t="e">
        <f t="shared" si="259"/>
        <v>#N/A</v>
      </c>
      <c r="D471" s="2" t="e">
        <f t="shared" si="260"/>
        <v>#N/A</v>
      </c>
      <c r="F471" s="2" t="e">
        <f t="shared" si="261"/>
        <v>#N/A</v>
      </c>
      <c r="G471" s="2" t="e">
        <f t="shared" si="262"/>
        <v>#N/A</v>
      </c>
      <c r="I471" s="2" t="e">
        <f t="shared" si="263"/>
        <v>#N/A</v>
      </c>
      <c r="J471" s="2" t="e">
        <f t="shared" si="264"/>
        <v>#N/A</v>
      </c>
      <c r="L471" s="2" t="e">
        <f t="shared" si="265"/>
        <v>#N/A</v>
      </c>
      <c r="M471" s="2" t="e">
        <f t="shared" si="266"/>
        <v>#N/A</v>
      </c>
      <c r="O471" s="2" t="e">
        <f t="shared" si="267"/>
        <v>#N/A</v>
      </c>
      <c r="P471" s="2" t="e">
        <f t="shared" si="268"/>
        <v>#N/A</v>
      </c>
      <c r="R471" s="2" t="e">
        <f t="shared" si="269"/>
        <v>#N/A</v>
      </c>
      <c r="S471" s="2" t="e">
        <f t="shared" si="270"/>
        <v>#N/A</v>
      </c>
      <c r="U471" s="2" t="e">
        <f t="shared" si="271"/>
        <v>#N/A</v>
      </c>
      <c r="V471" s="2" t="e">
        <f t="shared" si="272"/>
        <v>#N/A</v>
      </c>
      <c r="X471" s="2" t="e">
        <f t="shared" si="273"/>
        <v>#N/A</v>
      </c>
      <c r="Y471" s="2" t="e">
        <f t="shared" si="274"/>
        <v>#N/A</v>
      </c>
      <c r="AA471" s="2" t="e">
        <f t="shared" si="275"/>
        <v>#N/A</v>
      </c>
      <c r="AB471" s="2" t="e">
        <f t="shared" si="276"/>
        <v>#N/A</v>
      </c>
    </row>
    <row r="472" spans="1:28" s="2" customFormat="1">
      <c r="A472" s="70">
        <v>300</v>
      </c>
      <c r="C472" s="2" t="e">
        <f t="shared" si="259"/>
        <v>#N/A</v>
      </c>
      <c r="D472" s="2" t="e">
        <f t="shared" si="260"/>
        <v>#N/A</v>
      </c>
      <c r="F472" s="2" t="e">
        <f t="shared" si="261"/>
        <v>#N/A</v>
      </c>
      <c r="G472" s="2" t="e">
        <f t="shared" si="262"/>
        <v>#N/A</v>
      </c>
      <c r="I472" s="2" t="e">
        <f t="shared" si="263"/>
        <v>#N/A</v>
      </c>
      <c r="J472" s="2" t="e">
        <f t="shared" si="264"/>
        <v>#N/A</v>
      </c>
      <c r="L472" s="2" t="e">
        <f t="shared" si="265"/>
        <v>#N/A</v>
      </c>
      <c r="M472" s="2" t="e">
        <f t="shared" si="266"/>
        <v>#N/A</v>
      </c>
      <c r="O472" s="2" t="e">
        <f t="shared" si="267"/>
        <v>#N/A</v>
      </c>
      <c r="P472" s="2" t="e">
        <f t="shared" si="268"/>
        <v>#N/A</v>
      </c>
      <c r="R472" s="2" t="e">
        <f t="shared" si="269"/>
        <v>#N/A</v>
      </c>
      <c r="S472" s="2" t="e">
        <f t="shared" si="270"/>
        <v>#N/A</v>
      </c>
      <c r="U472" s="2" t="e">
        <f t="shared" si="271"/>
        <v>#N/A</v>
      </c>
      <c r="V472" s="2" t="e">
        <f t="shared" si="272"/>
        <v>#N/A</v>
      </c>
      <c r="X472" s="2" t="e">
        <f t="shared" si="273"/>
        <v>#N/A</v>
      </c>
      <c r="Y472" s="2" t="e">
        <f t="shared" si="274"/>
        <v>#N/A</v>
      </c>
      <c r="AA472" s="2" t="e">
        <f t="shared" si="275"/>
        <v>#N/A</v>
      </c>
      <c r="AB472" s="2" t="e">
        <f t="shared" si="276"/>
        <v>#N/A</v>
      </c>
    </row>
    <row r="473" spans="1:28" s="2" customFormat="1">
      <c r="A473" s="70">
        <v>315</v>
      </c>
      <c r="C473" s="2" t="e">
        <f t="shared" si="259"/>
        <v>#N/A</v>
      </c>
      <c r="D473" s="2" t="e">
        <f t="shared" si="260"/>
        <v>#N/A</v>
      </c>
      <c r="F473" s="2" t="e">
        <f t="shared" si="261"/>
        <v>#N/A</v>
      </c>
      <c r="G473" s="2" t="e">
        <f t="shared" si="262"/>
        <v>#N/A</v>
      </c>
      <c r="I473" s="2" t="e">
        <f t="shared" si="263"/>
        <v>#N/A</v>
      </c>
      <c r="J473" s="2" t="e">
        <f t="shared" si="264"/>
        <v>#N/A</v>
      </c>
      <c r="L473" s="2" t="e">
        <f t="shared" si="265"/>
        <v>#N/A</v>
      </c>
      <c r="M473" s="2" t="e">
        <f t="shared" si="266"/>
        <v>#N/A</v>
      </c>
      <c r="O473" s="2" t="e">
        <f t="shared" si="267"/>
        <v>#N/A</v>
      </c>
      <c r="P473" s="2" t="e">
        <f t="shared" si="268"/>
        <v>#N/A</v>
      </c>
      <c r="R473" s="2" t="e">
        <f t="shared" si="269"/>
        <v>#N/A</v>
      </c>
      <c r="S473" s="2" t="e">
        <f t="shared" si="270"/>
        <v>#N/A</v>
      </c>
      <c r="U473" s="2" t="e">
        <f t="shared" si="271"/>
        <v>#N/A</v>
      </c>
      <c r="V473" s="2" t="e">
        <f t="shared" si="272"/>
        <v>#N/A</v>
      </c>
      <c r="X473" s="2" t="e">
        <f t="shared" si="273"/>
        <v>#N/A</v>
      </c>
      <c r="Y473" s="2" t="e">
        <f t="shared" si="274"/>
        <v>#N/A</v>
      </c>
      <c r="AA473" s="2" t="e">
        <f t="shared" si="275"/>
        <v>#N/A</v>
      </c>
      <c r="AB473" s="2" t="e">
        <f t="shared" si="276"/>
        <v>#N/A</v>
      </c>
    </row>
    <row r="474" spans="1:28" s="2" customFormat="1">
      <c r="A474" s="70">
        <v>330</v>
      </c>
      <c r="C474" s="2" t="e">
        <f t="shared" si="259"/>
        <v>#N/A</v>
      </c>
      <c r="D474" s="2" t="e">
        <f t="shared" si="260"/>
        <v>#N/A</v>
      </c>
      <c r="F474" s="2" t="e">
        <f t="shared" si="261"/>
        <v>#N/A</v>
      </c>
      <c r="G474" s="2" t="e">
        <f t="shared" si="262"/>
        <v>#N/A</v>
      </c>
      <c r="I474" s="2" t="e">
        <f t="shared" si="263"/>
        <v>#N/A</v>
      </c>
      <c r="J474" s="2" t="e">
        <f t="shared" si="264"/>
        <v>#N/A</v>
      </c>
      <c r="L474" s="2" t="e">
        <f t="shared" si="265"/>
        <v>#N/A</v>
      </c>
      <c r="M474" s="2" t="e">
        <f t="shared" si="266"/>
        <v>#N/A</v>
      </c>
      <c r="O474" s="2" t="e">
        <f t="shared" si="267"/>
        <v>#N/A</v>
      </c>
      <c r="P474" s="2" t="e">
        <f t="shared" si="268"/>
        <v>#N/A</v>
      </c>
      <c r="R474" s="2" t="e">
        <f t="shared" si="269"/>
        <v>#N/A</v>
      </c>
      <c r="S474" s="2" t="e">
        <f t="shared" si="270"/>
        <v>#N/A</v>
      </c>
      <c r="U474" s="2" t="e">
        <f t="shared" si="271"/>
        <v>#N/A</v>
      </c>
      <c r="V474" s="2" t="e">
        <f t="shared" si="272"/>
        <v>#N/A</v>
      </c>
      <c r="X474" s="2" t="e">
        <f t="shared" si="273"/>
        <v>#N/A</v>
      </c>
      <c r="Y474" s="2" t="e">
        <f t="shared" si="274"/>
        <v>#N/A</v>
      </c>
      <c r="AA474" s="2" t="e">
        <f t="shared" si="275"/>
        <v>#N/A</v>
      </c>
      <c r="AB474" s="2" t="e">
        <f t="shared" si="276"/>
        <v>#N/A</v>
      </c>
    </row>
    <row r="475" spans="1:28" s="2" customFormat="1">
      <c r="A475" s="70">
        <v>345</v>
      </c>
      <c r="C475" s="2" t="e">
        <f t="shared" si="259"/>
        <v>#N/A</v>
      </c>
      <c r="D475" s="2" t="e">
        <f t="shared" si="260"/>
        <v>#N/A</v>
      </c>
      <c r="F475" s="2" t="e">
        <f t="shared" si="261"/>
        <v>#N/A</v>
      </c>
      <c r="G475" s="2" t="e">
        <f t="shared" si="262"/>
        <v>#N/A</v>
      </c>
      <c r="I475" s="2" t="e">
        <f t="shared" si="263"/>
        <v>#N/A</v>
      </c>
      <c r="J475" s="2" t="e">
        <f t="shared" si="264"/>
        <v>#N/A</v>
      </c>
      <c r="L475" s="2" t="e">
        <f t="shared" si="265"/>
        <v>#N/A</v>
      </c>
      <c r="M475" s="2" t="e">
        <f t="shared" si="266"/>
        <v>#N/A</v>
      </c>
      <c r="O475" s="2" t="e">
        <f t="shared" si="267"/>
        <v>#N/A</v>
      </c>
      <c r="P475" s="2" t="e">
        <f t="shared" si="268"/>
        <v>#N/A</v>
      </c>
      <c r="R475" s="2" t="e">
        <f t="shared" si="269"/>
        <v>#N/A</v>
      </c>
      <c r="S475" s="2" t="e">
        <f t="shared" si="270"/>
        <v>#N/A</v>
      </c>
      <c r="U475" s="2" t="e">
        <f t="shared" si="271"/>
        <v>#N/A</v>
      </c>
      <c r="V475" s="2" t="e">
        <f t="shared" si="272"/>
        <v>#N/A</v>
      </c>
      <c r="X475" s="2" t="e">
        <f t="shared" si="273"/>
        <v>#N/A</v>
      </c>
      <c r="Y475" s="2" t="e">
        <f t="shared" si="274"/>
        <v>#N/A</v>
      </c>
      <c r="AA475" s="2" t="e">
        <f t="shared" si="275"/>
        <v>#N/A</v>
      </c>
      <c r="AB475" s="2" t="e">
        <f t="shared" si="276"/>
        <v>#N/A</v>
      </c>
    </row>
    <row r="476" spans="1:28" s="2" customFormat="1">
      <c r="A476" s="70">
        <v>360</v>
      </c>
      <c r="C476" s="2" t="e">
        <f t="shared" si="259"/>
        <v>#N/A</v>
      </c>
      <c r="D476" s="2" t="e">
        <f t="shared" si="260"/>
        <v>#N/A</v>
      </c>
      <c r="F476" s="2" t="e">
        <f t="shared" si="261"/>
        <v>#N/A</v>
      </c>
      <c r="G476" s="2" t="e">
        <f t="shared" si="262"/>
        <v>#N/A</v>
      </c>
      <c r="I476" s="2" t="e">
        <f t="shared" si="263"/>
        <v>#N/A</v>
      </c>
      <c r="J476" s="2" t="e">
        <f t="shared" si="264"/>
        <v>#N/A</v>
      </c>
      <c r="L476" s="2" t="e">
        <f t="shared" si="265"/>
        <v>#N/A</v>
      </c>
      <c r="M476" s="2" t="e">
        <f t="shared" si="266"/>
        <v>#N/A</v>
      </c>
      <c r="O476" s="2" t="e">
        <f t="shared" si="267"/>
        <v>#N/A</v>
      </c>
      <c r="P476" s="2" t="e">
        <f t="shared" si="268"/>
        <v>#N/A</v>
      </c>
      <c r="R476" s="2" t="e">
        <f t="shared" si="269"/>
        <v>#N/A</v>
      </c>
      <c r="S476" s="2" t="e">
        <f t="shared" si="270"/>
        <v>#N/A</v>
      </c>
      <c r="U476" s="2" t="e">
        <f t="shared" si="271"/>
        <v>#N/A</v>
      </c>
      <c r="V476" s="2" t="e">
        <f t="shared" si="272"/>
        <v>#N/A</v>
      </c>
      <c r="X476" s="2" t="e">
        <f t="shared" si="273"/>
        <v>#N/A</v>
      </c>
      <c r="Y476" s="2" t="e">
        <f t="shared" si="274"/>
        <v>#N/A</v>
      </c>
      <c r="AA476" s="2" t="e">
        <f t="shared" si="275"/>
        <v>#N/A</v>
      </c>
      <c r="AB476" s="2" t="e">
        <f t="shared" si="276"/>
        <v>#N/A</v>
      </c>
    </row>
    <row r="477" spans="1:28" s="2" customFormat="1">
      <c r="A477" s="70"/>
    </row>
    <row r="478" spans="1:28" s="2" customFormat="1">
      <c r="A478" s="70">
        <v>0</v>
      </c>
      <c r="B478" s="2">
        <v>7</v>
      </c>
      <c r="C478" s="2" t="e">
        <f t="shared" ref="C478:C502" si="277">IF(AND(AG$3,C$567&gt;0),(E$17+1)*COS($A478*PI()/180)+C$567,NA())</f>
        <v>#N/A</v>
      </c>
      <c r="D478" s="2" t="e">
        <f t="shared" ref="D478:D502" si="278">IF(AND(AG$3,C$567&gt;0),(E$17+1)*SIN($A478*PI()/180)+E$15,NA())</f>
        <v>#N/A</v>
      </c>
      <c r="F478" s="2" t="e">
        <f t="shared" ref="F478:F502" si="279">IF(AND(AH$3,F$567&gt;0),(H$17+1)*COS($A478*PI()/180)+F$567,NA())</f>
        <v>#N/A</v>
      </c>
      <c r="G478" s="2" t="e">
        <f t="shared" ref="G478:G502" si="280">IF(AND(AH$3,F$567&gt;0),(H$17+1)*SIN($A478*PI()/180)+H$15,NA())</f>
        <v>#N/A</v>
      </c>
      <c r="I478" s="2" t="e">
        <f t="shared" ref="I478:I502" si="281">IF(AND(AI$3,I$567&gt;0),(K$17+1)*COS($A478*PI()/180)+I$567,NA())</f>
        <v>#N/A</v>
      </c>
      <c r="J478" s="2" t="e">
        <f t="shared" ref="J478:J502" si="282">IF(AND(AI$3,I$567&gt;0),(K$17+1)*SIN($A478*PI()/180)+K$15,NA())</f>
        <v>#N/A</v>
      </c>
      <c r="L478" s="2" t="e">
        <f t="shared" ref="L478:L502" si="283">IF(AND(AJ$3,L$567&gt;0),(N$17+1)*COS($A478*PI()/180)+L$567,NA())</f>
        <v>#N/A</v>
      </c>
      <c r="M478" s="2" t="e">
        <f t="shared" ref="M478:M502" si="284">IF(AND(AJ$3,L$567&gt;0),(N$17+1)*SIN($A478*PI()/180)+N$15,NA())</f>
        <v>#N/A</v>
      </c>
      <c r="O478" s="2" t="e">
        <f t="shared" ref="O478:O502" si="285">IF(AND(AK$3,O$567&gt;0),(Q$17+1)*COS($A478*PI()/180)+O$567,NA())</f>
        <v>#N/A</v>
      </c>
      <c r="P478" s="2" t="e">
        <f t="shared" ref="P478:P502" si="286">IF(AND(AK$3,O$567&gt;0),(Q$17+1)*SIN($A478*PI()/180)+Q$15,NA())</f>
        <v>#N/A</v>
      </c>
      <c r="R478" s="2" t="e">
        <f t="shared" ref="R478:R502" si="287">IF(AND(AL$3,R$567&gt;0),(T$17+1)*COS($A478*PI()/180)+R$567,NA())</f>
        <v>#N/A</v>
      </c>
      <c r="S478" s="2" t="e">
        <f t="shared" ref="S478:S502" si="288">IF(AND(AL$3,R$567&gt;0),(T$17+1)*SIN($A478*PI()/180)+T$15,NA())</f>
        <v>#N/A</v>
      </c>
      <c r="U478" s="2" t="e">
        <f t="shared" ref="U478:U502" si="289">IF(AND(AM$3,U$567&gt;0),(W$17+1)*COS($A478*PI()/180)+U$567,NA())</f>
        <v>#N/A</v>
      </c>
      <c r="V478" s="2" t="e">
        <f t="shared" ref="V478:V502" si="290">IF(AND(AM$3,U$567&gt;0),(W$17+1)*SIN($A478*PI()/180)+W$15,NA())</f>
        <v>#N/A</v>
      </c>
      <c r="X478" s="2" t="e">
        <f t="shared" ref="X478:X502" si="291">IF(AND(AN$3,X$567&gt;0),(Z$17+1)*COS($A478*PI()/180)+X$567,NA())</f>
        <v>#N/A</v>
      </c>
      <c r="Y478" s="2" t="e">
        <f t="shared" ref="Y478:Y502" si="292">IF(AND(AN$3,X$567&gt;0),(Z$17+1)*SIN($A478*PI()/180)+Z$15,NA())</f>
        <v>#N/A</v>
      </c>
      <c r="AA478" s="2" t="e">
        <f t="shared" ref="AA478:AA502" si="293">IF(AND(AO$3,AA$567&gt;0),(AC$17+1)*COS($A478*PI()/180)+AA$567,NA())</f>
        <v>#N/A</v>
      </c>
      <c r="AB478" s="2" t="e">
        <f t="shared" ref="AB478:AB502" si="294">IF(AND(AO$3,AA$567&gt;0),(AC$17+1)*SIN($A478*PI()/180)+AC$15,NA())</f>
        <v>#N/A</v>
      </c>
    </row>
    <row r="479" spans="1:28" s="2" customFormat="1">
      <c r="A479" s="70">
        <v>15</v>
      </c>
      <c r="C479" s="2" t="e">
        <f t="shared" si="277"/>
        <v>#N/A</v>
      </c>
      <c r="D479" s="2" t="e">
        <f t="shared" si="278"/>
        <v>#N/A</v>
      </c>
      <c r="F479" s="2" t="e">
        <f t="shared" si="279"/>
        <v>#N/A</v>
      </c>
      <c r="G479" s="2" t="e">
        <f t="shared" si="280"/>
        <v>#N/A</v>
      </c>
      <c r="I479" s="2" t="e">
        <f t="shared" si="281"/>
        <v>#N/A</v>
      </c>
      <c r="J479" s="2" t="e">
        <f t="shared" si="282"/>
        <v>#N/A</v>
      </c>
      <c r="L479" s="2" t="e">
        <f t="shared" si="283"/>
        <v>#N/A</v>
      </c>
      <c r="M479" s="2" t="e">
        <f t="shared" si="284"/>
        <v>#N/A</v>
      </c>
      <c r="O479" s="2" t="e">
        <f t="shared" si="285"/>
        <v>#N/A</v>
      </c>
      <c r="P479" s="2" t="e">
        <f t="shared" si="286"/>
        <v>#N/A</v>
      </c>
      <c r="R479" s="2" t="e">
        <f t="shared" si="287"/>
        <v>#N/A</v>
      </c>
      <c r="S479" s="2" t="e">
        <f t="shared" si="288"/>
        <v>#N/A</v>
      </c>
      <c r="U479" s="2" t="e">
        <f t="shared" si="289"/>
        <v>#N/A</v>
      </c>
      <c r="V479" s="2" t="e">
        <f t="shared" si="290"/>
        <v>#N/A</v>
      </c>
      <c r="X479" s="2" t="e">
        <f t="shared" si="291"/>
        <v>#N/A</v>
      </c>
      <c r="Y479" s="2" t="e">
        <f t="shared" si="292"/>
        <v>#N/A</v>
      </c>
      <c r="AA479" s="2" t="e">
        <f t="shared" si="293"/>
        <v>#N/A</v>
      </c>
      <c r="AB479" s="2" t="e">
        <f t="shared" si="294"/>
        <v>#N/A</v>
      </c>
    </row>
    <row r="480" spans="1:28" s="2" customFormat="1">
      <c r="A480" s="70">
        <v>30</v>
      </c>
      <c r="C480" s="2" t="e">
        <f t="shared" si="277"/>
        <v>#N/A</v>
      </c>
      <c r="D480" s="2" t="e">
        <f t="shared" si="278"/>
        <v>#N/A</v>
      </c>
      <c r="F480" s="2" t="e">
        <f t="shared" si="279"/>
        <v>#N/A</v>
      </c>
      <c r="G480" s="2" t="e">
        <f t="shared" si="280"/>
        <v>#N/A</v>
      </c>
      <c r="I480" s="2" t="e">
        <f t="shared" si="281"/>
        <v>#N/A</v>
      </c>
      <c r="J480" s="2" t="e">
        <f t="shared" si="282"/>
        <v>#N/A</v>
      </c>
      <c r="L480" s="2" t="e">
        <f t="shared" si="283"/>
        <v>#N/A</v>
      </c>
      <c r="M480" s="2" t="e">
        <f t="shared" si="284"/>
        <v>#N/A</v>
      </c>
      <c r="O480" s="2" t="e">
        <f t="shared" si="285"/>
        <v>#N/A</v>
      </c>
      <c r="P480" s="2" t="e">
        <f t="shared" si="286"/>
        <v>#N/A</v>
      </c>
      <c r="R480" s="2" t="e">
        <f t="shared" si="287"/>
        <v>#N/A</v>
      </c>
      <c r="S480" s="2" t="e">
        <f t="shared" si="288"/>
        <v>#N/A</v>
      </c>
      <c r="U480" s="2" t="e">
        <f t="shared" si="289"/>
        <v>#N/A</v>
      </c>
      <c r="V480" s="2" t="e">
        <f t="shared" si="290"/>
        <v>#N/A</v>
      </c>
      <c r="X480" s="2" t="e">
        <f t="shared" si="291"/>
        <v>#N/A</v>
      </c>
      <c r="Y480" s="2" t="e">
        <f t="shared" si="292"/>
        <v>#N/A</v>
      </c>
      <c r="AA480" s="2" t="e">
        <f t="shared" si="293"/>
        <v>#N/A</v>
      </c>
      <c r="AB480" s="2" t="e">
        <f t="shared" si="294"/>
        <v>#N/A</v>
      </c>
    </row>
    <row r="481" spans="1:28" s="2" customFormat="1">
      <c r="A481" s="70">
        <v>45</v>
      </c>
      <c r="C481" s="2" t="e">
        <f t="shared" si="277"/>
        <v>#N/A</v>
      </c>
      <c r="D481" s="2" t="e">
        <f t="shared" si="278"/>
        <v>#N/A</v>
      </c>
      <c r="F481" s="2" t="e">
        <f t="shared" si="279"/>
        <v>#N/A</v>
      </c>
      <c r="G481" s="2" t="e">
        <f t="shared" si="280"/>
        <v>#N/A</v>
      </c>
      <c r="I481" s="2" t="e">
        <f t="shared" si="281"/>
        <v>#N/A</v>
      </c>
      <c r="J481" s="2" t="e">
        <f t="shared" si="282"/>
        <v>#N/A</v>
      </c>
      <c r="L481" s="2" t="e">
        <f t="shared" si="283"/>
        <v>#N/A</v>
      </c>
      <c r="M481" s="2" t="e">
        <f t="shared" si="284"/>
        <v>#N/A</v>
      </c>
      <c r="O481" s="2" t="e">
        <f t="shared" si="285"/>
        <v>#N/A</v>
      </c>
      <c r="P481" s="2" t="e">
        <f t="shared" si="286"/>
        <v>#N/A</v>
      </c>
      <c r="R481" s="2" t="e">
        <f t="shared" si="287"/>
        <v>#N/A</v>
      </c>
      <c r="S481" s="2" t="e">
        <f t="shared" si="288"/>
        <v>#N/A</v>
      </c>
      <c r="U481" s="2" t="e">
        <f t="shared" si="289"/>
        <v>#N/A</v>
      </c>
      <c r="V481" s="2" t="e">
        <f t="shared" si="290"/>
        <v>#N/A</v>
      </c>
      <c r="X481" s="2" t="e">
        <f t="shared" si="291"/>
        <v>#N/A</v>
      </c>
      <c r="Y481" s="2" t="e">
        <f t="shared" si="292"/>
        <v>#N/A</v>
      </c>
      <c r="AA481" s="2" t="e">
        <f t="shared" si="293"/>
        <v>#N/A</v>
      </c>
      <c r="AB481" s="2" t="e">
        <f t="shared" si="294"/>
        <v>#N/A</v>
      </c>
    </row>
    <row r="482" spans="1:28" s="2" customFormat="1">
      <c r="A482" s="70">
        <v>60</v>
      </c>
      <c r="C482" s="2" t="e">
        <f t="shared" si="277"/>
        <v>#N/A</v>
      </c>
      <c r="D482" s="2" t="e">
        <f t="shared" si="278"/>
        <v>#N/A</v>
      </c>
      <c r="F482" s="2" t="e">
        <f t="shared" si="279"/>
        <v>#N/A</v>
      </c>
      <c r="G482" s="2" t="e">
        <f t="shared" si="280"/>
        <v>#N/A</v>
      </c>
      <c r="I482" s="2" t="e">
        <f t="shared" si="281"/>
        <v>#N/A</v>
      </c>
      <c r="J482" s="2" t="e">
        <f t="shared" si="282"/>
        <v>#N/A</v>
      </c>
      <c r="L482" s="2" t="e">
        <f t="shared" si="283"/>
        <v>#N/A</v>
      </c>
      <c r="M482" s="2" t="e">
        <f t="shared" si="284"/>
        <v>#N/A</v>
      </c>
      <c r="O482" s="2" t="e">
        <f t="shared" si="285"/>
        <v>#N/A</v>
      </c>
      <c r="P482" s="2" t="e">
        <f t="shared" si="286"/>
        <v>#N/A</v>
      </c>
      <c r="R482" s="2" t="e">
        <f t="shared" si="287"/>
        <v>#N/A</v>
      </c>
      <c r="S482" s="2" t="e">
        <f t="shared" si="288"/>
        <v>#N/A</v>
      </c>
      <c r="U482" s="2" t="e">
        <f t="shared" si="289"/>
        <v>#N/A</v>
      </c>
      <c r="V482" s="2" t="e">
        <f t="shared" si="290"/>
        <v>#N/A</v>
      </c>
      <c r="X482" s="2" t="e">
        <f t="shared" si="291"/>
        <v>#N/A</v>
      </c>
      <c r="Y482" s="2" t="e">
        <f t="shared" si="292"/>
        <v>#N/A</v>
      </c>
      <c r="AA482" s="2" t="e">
        <f t="shared" si="293"/>
        <v>#N/A</v>
      </c>
      <c r="AB482" s="2" t="e">
        <f t="shared" si="294"/>
        <v>#N/A</v>
      </c>
    </row>
    <row r="483" spans="1:28" s="2" customFormat="1">
      <c r="A483" s="70">
        <v>75</v>
      </c>
      <c r="C483" s="2" t="e">
        <f t="shared" si="277"/>
        <v>#N/A</v>
      </c>
      <c r="D483" s="2" t="e">
        <f t="shared" si="278"/>
        <v>#N/A</v>
      </c>
      <c r="F483" s="2" t="e">
        <f t="shared" si="279"/>
        <v>#N/A</v>
      </c>
      <c r="G483" s="2" t="e">
        <f t="shared" si="280"/>
        <v>#N/A</v>
      </c>
      <c r="I483" s="2" t="e">
        <f t="shared" si="281"/>
        <v>#N/A</v>
      </c>
      <c r="J483" s="2" t="e">
        <f t="shared" si="282"/>
        <v>#N/A</v>
      </c>
      <c r="L483" s="2" t="e">
        <f t="shared" si="283"/>
        <v>#N/A</v>
      </c>
      <c r="M483" s="2" t="e">
        <f t="shared" si="284"/>
        <v>#N/A</v>
      </c>
      <c r="O483" s="2" t="e">
        <f t="shared" si="285"/>
        <v>#N/A</v>
      </c>
      <c r="P483" s="2" t="e">
        <f t="shared" si="286"/>
        <v>#N/A</v>
      </c>
      <c r="R483" s="2" t="e">
        <f t="shared" si="287"/>
        <v>#N/A</v>
      </c>
      <c r="S483" s="2" t="e">
        <f t="shared" si="288"/>
        <v>#N/A</v>
      </c>
      <c r="U483" s="2" t="e">
        <f t="shared" si="289"/>
        <v>#N/A</v>
      </c>
      <c r="V483" s="2" t="e">
        <f t="shared" si="290"/>
        <v>#N/A</v>
      </c>
      <c r="X483" s="2" t="e">
        <f t="shared" si="291"/>
        <v>#N/A</v>
      </c>
      <c r="Y483" s="2" t="e">
        <f t="shared" si="292"/>
        <v>#N/A</v>
      </c>
      <c r="AA483" s="2" t="e">
        <f t="shared" si="293"/>
        <v>#N/A</v>
      </c>
      <c r="AB483" s="2" t="e">
        <f t="shared" si="294"/>
        <v>#N/A</v>
      </c>
    </row>
    <row r="484" spans="1:28" s="2" customFormat="1">
      <c r="A484" s="70">
        <v>90</v>
      </c>
      <c r="C484" s="2" t="e">
        <f t="shared" si="277"/>
        <v>#N/A</v>
      </c>
      <c r="D484" s="2" t="e">
        <f t="shared" si="278"/>
        <v>#N/A</v>
      </c>
      <c r="F484" s="2" t="e">
        <f t="shared" si="279"/>
        <v>#N/A</v>
      </c>
      <c r="G484" s="2" t="e">
        <f t="shared" si="280"/>
        <v>#N/A</v>
      </c>
      <c r="I484" s="2" t="e">
        <f t="shared" si="281"/>
        <v>#N/A</v>
      </c>
      <c r="J484" s="2" t="e">
        <f t="shared" si="282"/>
        <v>#N/A</v>
      </c>
      <c r="L484" s="2" t="e">
        <f t="shared" si="283"/>
        <v>#N/A</v>
      </c>
      <c r="M484" s="2" t="e">
        <f t="shared" si="284"/>
        <v>#N/A</v>
      </c>
      <c r="O484" s="2" t="e">
        <f t="shared" si="285"/>
        <v>#N/A</v>
      </c>
      <c r="P484" s="2" t="e">
        <f t="shared" si="286"/>
        <v>#N/A</v>
      </c>
      <c r="R484" s="2" t="e">
        <f t="shared" si="287"/>
        <v>#N/A</v>
      </c>
      <c r="S484" s="2" t="e">
        <f t="shared" si="288"/>
        <v>#N/A</v>
      </c>
      <c r="U484" s="2" t="e">
        <f t="shared" si="289"/>
        <v>#N/A</v>
      </c>
      <c r="V484" s="2" t="e">
        <f t="shared" si="290"/>
        <v>#N/A</v>
      </c>
      <c r="X484" s="2" t="e">
        <f t="shared" si="291"/>
        <v>#N/A</v>
      </c>
      <c r="Y484" s="2" t="e">
        <f t="shared" si="292"/>
        <v>#N/A</v>
      </c>
      <c r="AA484" s="2" t="e">
        <f t="shared" si="293"/>
        <v>#N/A</v>
      </c>
      <c r="AB484" s="2" t="e">
        <f t="shared" si="294"/>
        <v>#N/A</v>
      </c>
    </row>
    <row r="485" spans="1:28" s="2" customFormat="1">
      <c r="A485" s="70">
        <v>105</v>
      </c>
      <c r="C485" s="2" t="e">
        <f t="shared" si="277"/>
        <v>#N/A</v>
      </c>
      <c r="D485" s="2" t="e">
        <f t="shared" si="278"/>
        <v>#N/A</v>
      </c>
      <c r="F485" s="2" t="e">
        <f t="shared" si="279"/>
        <v>#N/A</v>
      </c>
      <c r="G485" s="2" t="e">
        <f t="shared" si="280"/>
        <v>#N/A</v>
      </c>
      <c r="I485" s="2" t="e">
        <f t="shared" si="281"/>
        <v>#N/A</v>
      </c>
      <c r="J485" s="2" t="e">
        <f t="shared" si="282"/>
        <v>#N/A</v>
      </c>
      <c r="L485" s="2" t="e">
        <f t="shared" si="283"/>
        <v>#N/A</v>
      </c>
      <c r="M485" s="2" t="e">
        <f t="shared" si="284"/>
        <v>#N/A</v>
      </c>
      <c r="O485" s="2" t="e">
        <f t="shared" si="285"/>
        <v>#N/A</v>
      </c>
      <c r="P485" s="2" t="e">
        <f t="shared" si="286"/>
        <v>#N/A</v>
      </c>
      <c r="R485" s="2" t="e">
        <f t="shared" si="287"/>
        <v>#N/A</v>
      </c>
      <c r="S485" s="2" t="e">
        <f t="shared" si="288"/>
        <v>#N/A</v>
      </c>
      <c r="U485" s="2" t="e">
        <f t="shared" si="289"/>
        <v>#N/A</v>
      </c>
      <c r="V485" s="2" t="e">
        <f t="shared" si="290"/>
        <v>#N/A</v>
      </c>
      <c r="X485" s="2" t="e">
        <f t="shared" si="291"/>
        <v>#N/A</v>
      </c>
      <c r="Y485" s="2" t="e">
        <f t="shared" si="292"/>
        <v>#N/A</v>
      </c>
      <c r="AA485" s="2" t="e">
        <f t="shared" si="293"/>
        <v>#N/A</v>
      </c>
      <c r="AB485" s="2" t="e">
        <f t="shared" si="294"/>
        <v>#N/A</v>
      </c>
    </row>
    <row r="486" spans="1:28" s="2" customFormat="1">
      <c r="A486" s="70">
        <v>120</v>
      </c>
      <c r="C486" s="2" t="e">
        <f t="shared" si="277"/>
        <v>#N/A</v>
      </c>
      <c r="D486" s="2" t="e">
        <f t="shared" si="278"/>
        <v>#N/A</v>
      </c>
      <c r="F486" s="2" t="e">
        <f t="shared" si="279"/>
        <v>#N/A</v>
      </c>
      <c r="G486" s="2" t="e">
        <f t="shared" si="280"/>
        <v>#N/A</v>
      </c>
      <c r="I486" s="2" t="e">
        <f t="shared" si="281"/>
        <v>#N/A</v>
      </c>
      <c r="J486" s="2" t="e">
        <f t="shared" si="282"/>
        <v>#N/A</v>
      </c>
      <c r="L486" s="2" t="e">
        <f t="shared" si="283"/>
        <v>#N/A</v>
      </c>
      <c r="M486" s="2" t="e">
        <f t="shared" si="284"/>
        <v>#N/A</v>
      </c>
      <c r="O486" s="2" t="e">
        <f t="shared" si="285"/>
        <v>#N/A</v>
      </c>
      <c r="P486" s="2" t="e">
        <f t="shared" si="286"/>
        <v>#N/A</v>
      </c>
      <c r="R486" s="2" t="e">
        <f t="shared" si="287"/>
        <v>#N/A</v>
      </c>
      <c r="S486" s="2" t="e">
        <f t="shared" si="288"/>
        <v>#N/A</v>
      </c>
      <c r="U486" s="2" t="e">
        <f t="shared" si="289"/>
        <v>#N/A</v>
      </c>
      <c r="V486" s="2" t="e">
        <f t="shared" si="290"/>
        <v>#N/A</v>
      </c>
      <c r="X486" s="2" t="e">
        <f t="shared" si="291"/>
        <v>#N/A</v>
      </c>
      <c r="Y486" s="2" t="e">
        <f t="shared" si="292"/>
        <v>#N/A</v>
      </c>
      <c r="AA486" s="2" t="e">
        <f t="shared" si="293"/>
        <v>#N/A</v>
      </c>
      <c r="AB486" s="2" t="e">
        <f t="shared" si="294"/>
        <v>#N/A</v>
      </c>
    </row>
    <row r="487" spans="1:28" s="2" customFormat="1">
      <c r="A487" s="70">
        <v>135</v>
      </c>
      <c r="C487" s="2" t="e">
        <f t="shared" si="277"/>
        <v>#N/A</v>
      </c>
      <c r="D487" s="2" t="e">
        <f t="shared" si="278"/>
        <v>#N/A</v>
      </c>
      <c r="F487" s="2" t="e">
        <f t="shared" si="279"/>
        <v>#N/A</v>
      </c>
      <c r="G487" s="2" t="e">
        <f t="shared" si="280"/>
        <v>#N/A</v>
      </c>
      <c r="I487" s="2" t="e">
        <f t="shared" si="281"/>
        <v>#N/A</v>
      </c>
      <c r="J487" s="2" t="e">
        <f t="shared" si="282"/>
        <v>#N/A</v>
      </c>
      <c r="L487" s="2" t="e">
        <f t="shared" si="283"/>
        <v>#N/A</v>
      </c>
      <c r="M487" s="2" t="e">
        <f t="shared" si="284"/>
        <v>#N/A</v>
      </c>
      <c r="O487" s="2" t="e">
        <f t="shared" si="285"/>
        <v>#N/A</v>
      </c>
      <c r="P487" s="2" t="e">
        <f t="shared" si="286"/>
        <v>#N/A</v>
      </c>
      <c r="R487" s="2" t="e">
        <f t="shared" si="287"/>
        <v>#N/A</v>
      </c>
      <c r="S487" s="2" t="e">
        <f t="shared" si="288"/>
        <v>#N/A</v>
      </c>
      <c r="U487" s="2" t="e">
        <f t="shared" si="289"/>
        <v>#N/A</v>
      </c>
      <c r="V487" s="2" t="e">
        <f t="shared" si="290"/>
        <v>#N/A</v>
      </c>
      <c r="X487" s="2" t="e">
        <f t="shared" si="291"/>
        <v>#N/A</v>
      </c>
      <c r="Y487" s="2" t="e">
        <f t="shared" si="292"/>
        <v>#N/A</v>
      </c>
      <c r="AA487" s="2" t="e">
        <f t="shared" si="293"/>
        <v>#N/A</v>
      </c>
      <c r="AB487" s="2" t="e">
        <f t="shared" si="294"/>
        <v>#N/A</v>
      </c>
    </row>
    <row r="488" spans="1:28" s="2" customFormat="1">
      <c r="A488" s="70">
        <v>150</v>
      </c>
      <c r="C488" s="2" t="e">
        <f t="shared" si="277"/>
        <v>#N/A</v>
      </c>
      <c r="D488" s="2" t="e">
        <f t="shared" si="278"/>
        <v>#N/A</v>
      </c>
      <c r="F488" s="2" t="e">
        <f t="shared" si="279"/>
        <v>#N/A</v>
      </c>
      <c r="G488" s="2" t="e">
        <f t="shared" si="280"/>
        <v>#N/A</v>
      </c>
      <c r="I488" s="2" t="e">
        <f t="shared" si="281"/>
        <v>#N/A</v>
      </c>
      <c r="J488" s="2" t="e">
        <f t="shared" si="282"/>
        <v>#N/A</v>
      </c>
      <c r="L488" s="2" t="e">
        <f t="shared" si="283"/>
        <v>#N/A</v>
      </c>
      <c r="M488" s="2" t="e">
        <f t="shared" si="284"/>
        <v>#N/A</v>
      </c>
      <c r="O488" s="2" t="e">
        <f t="shared" si="285"/>
        <v>#N/A</v>
      </c>
      <c r="P488" s="2" t="e">
        <f t="shared" si="286"/>
        <v>#N/A</v>
      </c>
      <c r="R488" s="2" t="e">
        <f t="shared" si="287"/>
        <v>#N/A</v>
      </c>
      <c r="S488" s="2" t="e">
        <f t="shared" si="288"/>
        <v>#N/A</v>
      </c>
      <c r="U488" s="2" t="e">
        <f t="shared" si="289"/>
        <v>#N/A</v>
      </c>
      <c r="V488" s="2" t="e">
        <f t="shared" si="290"/>
        <v>#N/A</v>
      </c>
      <c r="X488" s="2" t="e">
        <f t="shared" si="291"/>
        <v>#N/A</v>
      </c>
      <c r="Y488" s="2" t="e">
        <f t="shared" si="292"/>
        <v>#N/A</v>
      </c>
      <c r="AA488" s="2" t="e">
        <f t="shared" si="293"/>
        <v>#N/A</v>
      </c>
      <c r="AB488" s="2" t="e">
        <f t="shared" si="294"/>
        <v>#N/A</v>
      </c>
    </row>
    <row r="489" spans="1:28" s="2" customFormat="1">
      <c r="A489" s="70">
        <v>165</v>
      </c>
      <c r="C489" s="2" t="e">
        <f t="shared" si="277"/>
        <v>#N/A</v>
      </c>
      <c r="D489" s="2" t="e">
        <f t="shared" si="278"/>
        <v>#N/A</v>
      </c>
      <c r="F489" s="2" t="e">
        <f t="shared" si="279"/>
        <v>#N/A</v>
      </c>
      <c r="G489" s="2" t="e">
        <f t="shared" si="280"/>
        <v>#N/A</v>
      </c>
      <c r="I489" s="2" t="e">
        <f t="shared" si="281"/>
        <v>#N/A</v>
      </c>
      <c r="J489" s="2" t="e">
        <f t="shared" si="282"/>
        <v>#N/A</v>
      </c>
      <c r="L489" s="2" t="e">
        <f t="shared" si="283"/>
        <v>#N/A</v>
      </c>
      <c r="M489" s="2" t="e">
        <f t="shared" si="284"/>
        <v>#N/A</v>
      </c>
      <c r="O489" s="2" t="e">
        <f t="shared" si="285"/>
        <v>#N/A</v>
      </c>
      <c r="P489" s="2" t="e">
        <f t="shared" si="286"/>
        <v>#N/A</v>
      </c>
      <c r="R489" s="2" t="e">
        <f t="shared" si="287"/>
        <v>#N/A</v>
      </c>
      <c r="S489" s="2" t="e">
        <f t="shared" si="288"/>
        <v>#N/A</v>
      </c>
      <c r="U489" s="2" t="e">
        <f t="shared" si="289"/>
        <v>#N/A</v>
      </c>
      <c r="V489" s="2" t="e">
        <f t="shared" si="290"/>
        <v>#N/A</v>
      </c>
      <c r="X489" s="2" t="e">
        <f t="shared" si="291"/>
        <v>#N/A</v>
      </c>
      <c r="Y489" s="2" t="e">
        <f t="shared" si="292"/>
        <v>#N/A</v>
      </c>
      <c r="AA489" s="2" t="e">
        <f t="shared" si="293"/>
        <v>#N/A</v>
      </c>
      <c r="AB489" s="2" t="e">
        <f t="shared" si="294"/>
        <v>#N/A</v>
      </c>
    </row>
    <row r="490" spans="1:28" s="2" customFormat="1">
      <c r="A490" s="70">
        <v>180</v>
      </c>
      <c r="C490" s="2" t="e">
        <f t="shared" si="277"/>
        <v>#N/A</v>
      </c>
      <c r="D490" s="2" t="e">
        <f t="shared" si="278"/>
        <v>#N/A</v>
      </c>
      <c r="F490" s="2" t="e">
        <f t="shared" si="279"/>
        <v>#N/A</v>
      </c>
      <c r="G490" s="2" t="e">
        <f t="shared" si="280"/>
        <v>#N/A</v>
      </c>
      <c r="I490" s="2" t="e">
        <f t="shared" si="281"/>
        <v>#N/A</v>
      </c>
      <c r="J490" s="2" t="e">
        <f t="shared" si="282"/>
        <v>#N/A</v>
      </c>
      <c r="L490" s="2" t="e">
        <f t="shared" si="283"/>
        <v>#N/A</v>
      </c>
      <c r="M490" s="2" t="e">
        <f t="shared" si="284"/>
        <v>#N/A</v>
      </c>
      <c r="O490" s="2" t="e">
        <f t="shared" si="285"/>
        <v>#N/A</v>
      </c>
      <c r="P490" s="2" t="e">
        <f t="shared" si="286"/>
        <v>#N/A</v>
      </c>
      <c r="R490" s="2" t="e">
        <f t="shared" si="287"/>
        <v>#N/A</v>
      </c>
      <c r="S490" s="2" t="e">
        <f t="shared" si="288"/>
        <v>#N/A</v>
      </c>
      <c r="U490" s="2" t="e">
        <f t="shared" si="289"/>
        <v>#N/A</v>
      </c>
      <c r="V490" s="2" t="e">
        <f t="shared" si="290"/>
        <v>#N/A</v>
      </c>
      <c r="X490" s="2" t="e">
        <f t="shared" si="291"/>
        <v>#N/A</v>
      </c>
      <c r="Y490" s="2" t="e">
        <f t="shared" si="292"/>
        <v>#N/A</v>
      </c>
      <c r="AA490" s="2" t="e">
        <f t="shared" si="293"/>
        <v>#N/A</v>
      </c>
      <c r="AB490" s="2" t="e">
        <f t="shared" si="294"/>
        <v>#N/A</v>
      </c>
    </row>
    <row r="491" spans="1:28" s="2" customFormat="1">
      <c r="A491" s="70">
        <v>195</v>
      </c>
      <c r="C491" s="2" t="e">
        <f t="shared" si="277"/>
        <v>#N/A</v>
      </c>
      <c r="D491" s="2" t="e">
        <f t="shared" si="278"/>
        <v>#N/A</v>
      </c>
      <c r="F491" s="2" t="e">
        <f t="shared" si="279"/>
        <v>#N/A</v>
      </c>
      <c r="G491" s="2" t="e">
        <f t="shared" si="280"/>
        <v>#N/A</v>
      </c>
      <c r="I491" s="2" t="e">
        <f t="shared" si="281"/>
        <v>#N/A</v>
      </c>
      <c r="J491" s="2" t="e">
        <f t="shared" si="282"/>
        <v>#N/A</v>
      </c>
      <c r="L491" s="2" t="e">
        <f t="shared" si="283"/>
        <v>#N/A</v>
      </c>
      <c r="M491" s="2" t="e">
        <f t="shared" si="284"/>
        <v>#N/A</v>
      </c>
      <c r="O491" s="2" t="e">
        <f t="shared" si="285"/>
        <v>#N/A</v>
      </c>
      <c r="P491" s="2" t="e">
        <f t="shared" si="286"/>
        <v>#N/A</v>
      </c>
      <c r="R491" s="2" t="e">
        <f t="shared" si="287"/>
        <v>#N/A</v>
      </c>
      <c r="S491" s="2" t="e">
        <f t="shared" si="288"/>
        <v>#N/A</v>
      </c>
      <c r="U491" s="2" t="e">
        <f t="shared" si="289"/>
        <v>#N/A</v>
      </c>
      <c r="V491" s="2" t="e">
        <f t="shared" si="290"/>
        <v>#N/A</v>
      </c>
      <c r="X491" s="2" t="e">
        <f t="shared" si="291"/>
        <v>#N/A</v>
      </c>
      <c r="Y491" s="2" t="e">
        <f t="shared" si="292"/>
        <v>#N/A</v>
      </c>
      <c r="AA491" s="2" t="e">
        <f t="shared" si="293"/>
        <v>#N/A</v>
      </c>
      <c r="AB491" s="2" t="e">
        <f t="shared" si="294"/>
        <v>#N/A</v>
      </c>
    </row>
    <row r="492" spans="1:28" s="2" customFormat="1">
      <c r="A492" s="70">
        <v>210</v>
      </c>
      <c r="C492" s="2" t="e">
        <f t="shared" si="277"/>
        <v>#N/A</v>
      </c>
      <c r="D492" s="2" t="e">
        <f t="shared" si="278"/>
        <v>#N/A</v>
      </c>
      <c r="F492" s="2" t="e">
        <f t="shared" si="279"/>
        <v>#N/A</v>
      </c>
      <c r="G492" s="2" t="e">
        <f t="shared" si="280"/>
        <v>#N/A</v>
      </c>
      <c r="I492" s="2" t="e">
        <f t="shared" si="281"/>
        <v>#N/A</v>
      </c>
      <c r="J492" s="2" t="e">
        <f t="shared" si="282"/>
        <v>#N/A</v>
      </c>
      <c r="L492" s="2" t="e">
        <f t="shared" si="283"/>
        <v>#N/A</v>
      </c>
      <c r="M492" s="2" t="e">
        <f t="shared" si="284"/>
        <v>#N/A</v>
      </c>
      <c r="O492" s="2" t="e">
        <f t="shared" si="285"/>
        <v>#N/A</v>
      </c>
      <c r="P492" s="2" t="e">
        <f t="shared" si="286"/>
        <v>#N/A</v>
      </c>
      <c r="R492" s="2" t="e">
        <f t="shared" si="287"/>
        <v>#N/A</v>
      </c>
      <c r="S492" s="2" t="e">
        <f t="shared" si="288"/>
        <v>#N/A</v>
      </c>
      <c r="U492" s="2" t="e">
        <f t="shared" si="289"/>
        <v>#N/A</v>
      </c>
      <c r="V492" s="2" t="e">
        <f t="shared" si="290"/>
        <v>#N/A</v>
      </c>
      <c r="X492" s="2" t="e">
        <f t="shared" si="291"/>
        <v>#N/A</v>
      </c>
      <c r="Y492" s="2" t="e">
        <f t="shared" si="292"/>
        <v>#N/A</v>
      </c>
      <c r="AA492" s="2" t="e">
        <f t="shared" si="293"/>
        <v>#N/A</v>
      </c>
      <c r="AB492" s="2" t="e">
        <f t="shared" si="294"/>
        <v>#N/A</v>
      </c>
    </row>
    <row r="493" spans="1:28" s="2" customFormat="1">
      <c r="A493" s="70">
        <v>225</v>
      </c>
      <c r="C493" s="2" t="e">
        <f t="shared" si="277"/>
        <v>#N/A</v>
      </c>
      <c r="D493" s="2" t="e">
        <f t="shared" si="278"/>
        <v>#N/A</v>
      </c>
      <c r="F493" s="2" t="e">
        <f t="shared" si="279"/>
        <v>#N/A</v>
      </c>
      <c r="G493" s="2" t="e">
        <f t="shared" si="280"/>
        <v>#N/A</v>
      </c>
      <c r="I493" s="2" t="e">
        <f t="shared" si="281"/>
        <v>#N/A</v>
      </c>
      <c r="J493" s="2" t="e">
        <f t="shared" si="282"/>
        <v>#N/A</v>
      </c>
      <c r="L493" s="2" t="e">
        <f t="shared" si="283"/>
        <v>#N/A</v>
      </c>
      <c r="M493" s="2" t="e">
        <f t="shared" si="284"/>
        <v>#N/A</v>
      </c>
      <c r="O493" s="2" t="e">
        <f t="shared" si="285"/>
        <v>#N/A</v>
      </c>
      <c r="P493" s="2" t="e">
        <f t="shared" si="286"/>
        <v>#N/A</v>
      </c>
      <c r="R493" s="2" t="e">
        <f t="shared" si="287"/>
        <v>#N/A</v>
      </c>
      <c r="S493" s="2" t="e">
        <f t="shared" si="288"/>
        <v>#N/A</v>
      </c>
      <c r="U493" s="2" t="e">
        <f t="shared" si="289"/>
        <v>#N/A</v>
      </c>
      <c r="V493" s="2" t="e">
        <f t="shared" si="290"/>
        <v>#N/A</v>
      </c>
      <c r="X493" s="2" t="e">
        <f t="shared" si="291"/>
        <v>#N/A</v>
      </c>
      <c r="Y493" s="2" t="e">
        <f t="shared" si="292"/>
        <v>#N/A</v>
      </c>
      <c r="AA493" s="2" t="e">
        <f t="shared" si="293"/>
        <v>#N/A</v>
      </c>
      <c r="AB493" s="2" t="e">
        <f t="shared" si="294"/>
        <v>#N/A</v>
      </c>
    </row>
    <row r="494" spans="1:28" s="2" customFormat="1">
      <c r="A494" s="70">
        <v>240</v>
      </c>
      <c r="C494" s="2" t="e">
        <f t="shared" si="277"/>
        <v>#N/A</v>
      </c>
      <c r="D494" s="2" t="e">
        <f t="shared" si="278"/>
        <v>#N/A</v>
      </c>
      <c r="F494" s="2" t="e">
        <f t="shared" si="279"/>
        <v>#N/A</v>
      </c>
      <c r="G494" s="2" t="e">
        <f t="shared" si="280"/>
        <v>#N/A</v>
      </c>
      <c r="I494" s="2" t="e">
        <f t="shared" si="281"/>
        <v>#N/A</v>
      </c>
      <c r="J494" s="2" t="e">
        <f t="shared" si="282"/>
        <v>#N/A</v>
      </c>
      <c r="L494" s="2" t="e">
        <f t="shared" si="283"/>
        <v>#N/A</v>
      </c>
      <c r="M494" s="2" t="e">
        <f t="shared" si="284"/>
        <v>#N/A</v>
      </c>
      <c r="O494" s="2" t="e">
        <f t="shared" si="285"/>
        <v>#N/A</v>
      </c>
      <c r="P494" s="2" t="e">
        <f t="shared" si="286"/>
        <v>#N/A</v>
      </c>
      <c r="R494" s="2" t="e">
        <f t="shared" si="287"/>
        <v>#N/A</v>
      </c>
      <c r="S494" s="2" t="e">
        <f t="shared" si="288"/>
        <v>#N/A</v>
      </c>
      <c r="U494" s="2" t="e">
        <f t="shared" si="289"/>
        <v>#N/A</v>
      </c>
      <c r="V494" s="2" t="e">
        <f t="shared" si="290"/>
        <v>#N/A</v>
      </c>
      <c r="X494" s="2" t="e">
        <f t="shared" si="291"/>
        <v>#N/A</v>
      </c>
      <c r="Y494" s="2" t="e">
        <f t="shared" si="292"/>
        <v>#N/A</v>
      </c>
      <c r="AA494" s="2" t="e">
        <f t="shared" si="293"/>
        <v>#N/A</v>
      </c>
      <c r="AB494" s="2" t="e">
        <f t="shared" si="294"/>
        <v>#N/A</v>
      </c>
    </row>
    <row r="495" spans="1:28" s="2" customFormat="1">
      <c r="A495" s="70">
        <v>255</v>
      </c>
      <c r="C495" s="2" t="e">
        <f t="shared" si="277"/>
        <v>#N/A</v>
      </c>
      <c r="D495" s="2" t="e">
        <f t="shared" si="278"/>
        <v>#N/A</v>
      </c>
      <c r="F495" s="2" t="e">
        <f t="shared" si="279"/>
        <v>#N/A</v>
      </c>
      <c r="G495" s="2" t="e">
        <f t="shared" si="280"/>
        <v>#N/A</v>
      </c>
      <c r="I495" s="2" t="e">
        <f t="shared" si="281"/>
        <v>#N/A</v>
      </c>
      <c r="J495" s="2" t="e">
        <f t="shared" si="282"/>
        <v>#N/A</v>
      </c>
      <c r="L495" s="2" t="e">
        <f t="shared" si="283"/>
        <v>#N/A</v>
      </c>
      <c r="M495" s="2" t="e">
        <f t="shared" si="284"/>
        <v>#N/A</v>
      </c>
      <c r="O495" s="2" t="e">
        <f t="shared" si="285"/>
        <v>#N/A</v>
      </c>
      <c r="P495" s="2" t="e">
        <f t="shared" si="286"/>
        <v>#N/A</v>
      </c>
      <c r="R495" s="2" t="e">
        <f t="shared" si="287"/>
        <v>#N/A</v>
      </c>
      <c r="S495" s="2" t="e">
        <f t="shared" si="288"/>
        <v>#N/A</v>
      </c>
      <c r="U495" s="2" t="e">
        <f t="shared" si="289"/>
        <v>#N/A</v>
      </c>
      <c r="V495" s="2" t="e">
        <f t="shared" si="290"/>
        <v>#N/A</v>
      </c>
      <c r="X495" s="2" t="e">
        <f t="shared" si="291"/>
        <v>#N/A</v>
      </c>
      <c r="Y495" s="2" t="e">
        <f t="shared" si="292"/>
        <v>#N/A</v>
      </c>
      <c r="AA495" s="2" t="e">
        <f t="shared" si="293"/>
        <v>#N/A</v>
      </c>
      <c r="AB495" s="2" t="e">
        <f t="shared" si="294"/>
        <v>#N/A</v>
      </c>
    </row>
    <row r="496" spans="1:28" s="2" customFormat="1">
      <c r="A496" s="70">
        <v>270</v>
      </c>
      <c r="C496" s="2" t="e">
        <f t="shared" si="277"/>
        <v>#N/A</v>
      </c>
      <c r="D496" s="2" t="e">
        <f t="shared" si="278"/>
        <v>#N/A</v>
      </c>
      <c r="F496" s="2" t="e">
        <f t="shared" si="279"/>
        <v>#N/A</v>
      </c>
      <c r="G496" s="2" t="e">
        <f t="shared" si="280"/>
        <v>#N/A</v>
      </c>
      <c r="I496" s="2" t="e">
        <f t="shared" si="281"/>
        <v>#N/A</v>
      </c>
      <c r="J496" s="2" t="e">
        <f t="shared" si="282"/>
        <v>#N/A</v>
      </c>
      <c r="L496" s="2" t="e">
        <f t="shared" si="283"/>
        <v>#N/A</v>
      </c>
      <c r="M496" s="2" t="e">
        <f t="shared" si="284"/>
        <v>#N/A</v>
      </c>
      <c r="O496" s="2" t="e">
        <f t="shared" si="285"/>
        <v>#N/A</v>
      </c>
      <c r="P496" s="2" t="e">
        <f t="shared" si="286"/>
        <v>#N/A</v>
      </c>
      <c r="R496" s="2" t="e">
        <f t="shared" si="287"/>
        <v>#N/A</v>
      </c>
      <c r="S496" s="2" t="e">
        <f t="shared" si="288"/>
        <v>#N/A</v>
      </c>
      <c r="U496" s="2" t="e">
        <f t="shared" si="289"/>
        <v>#N/A</v>
      </c>
      <c r="V496" s="2" t="e">
        <f t="shared" si="290"/>
        <v>#N/A</v>
      </c>
      <c r="X496" s="2" t="e">
        <f t="shared" si="291"/>
        <v>#N/A</v>
      </c>
      <c r="Y496" s="2" t="e">
        <f t="shared" si="292"/>
        <v>#N/A</v>
      </c>
      <c r="AA496" s="2" t="e">
        <f t="shared" si="293"/>
        <v>#N/A</v>
      </c>
      <c r="AB496" s="2" t="e">
        <f t="shared" si="294"/>
        <v>#N/A</v>
      </c>
    </row>
    <row r="497" spans="1:29" s="2" customFormat="1">
      <c r="A497" s="70">
        <v>285</v>
      </c>
      <c r="C497" s="2" t="e">
        <f t="shared" si="277"/>
        <v>#N/A</v>
      </c>
      <c r="D497" s="2" t="e">
        <f t="shared" si="278"/>
        <v>#N/A</v>
      </c>
      <c r="F497" s="2" t="e">
        <f t="shared" si="279"/>
        <v>#N/A</v>
      </c>
      <c r="G497" s="2" t="e">
        <f t="shared" si="280"/>
        <v>#N/A</v>
      </c>
      <c r="I497" s="2" t="e">
        <f t="shared" si="281"/>
        <v>#N/A</v>
      </c>
      <c r="J497" s="2" t="e">
        <f t="shared" si="282"/>
        <v>#N/A</v>
      </c>
      <c r="L497" s="2" t="e">
        <f t="shared" si="283"/>
        <v>#N/A</v>
      </c>
      <c r="M497" s="2" t="e">
        <f t="shared" si="284"/>
        <v>#N/A</v>
      </c>
      <c r="O497" s="2" t="e">
        <f t="shared" si="285"/>
        <v>#N/A</v>
      </c>
      <c r="P497" s="2" t="e">
        <f t="shared" si="286"/>
        <v>#N/A</v>
      </c>
      <c r="R497" s="2" t="e">
        <f t="shared" si="287"/>
        <v>#N/A</v>
      </c>
      <c r="S497" s="2" t="e">
        <f t="shared" si="288"/>
        <v>#N/A</v>
      </c>
      <c r="U497" s="2" t="e">
        <f t="shared" si="289"/>
        <v>#N/A</v>
      </c>
      <c r="V497" s="2" t="e">
        <f t="shared" si="290"/>
        <v>#N/A</v>
      </c>
      <c r="X497" s="2" t="e">
        <f t="shared" si="291"/>
        <v>#N/A</v>
      </c>
      <c r="Y497" s="2" t="e">
        <f t="shared" si="292"/>
        <v>#N/A</v>
      </c>
      <c r="AA497" s="2" t="e">
        <f t="shared" si="293"/>
        <v>#N/A</v>
      </c>
      <c r="AB497" s="2" t="e">
        <f t="shared" si="294"/>
        <v>#N/A</v>
      </c>
    </row>
    <row r="498" spans="1:29" s="2" customFormat="1">
      <c r="A498" s="70">
        <v>300</v>
      </c>
      <c r="C498" s="2" t="e">
        <f t="shared" si="277"/>
        <v>#N/A</v>
      </c>
      <c r="D498" s="2" t="e">
        <f t="shared" si="278"/>
        <v>#N/A</v>
      </c>
      <c r="F498" s="2" t="e">
        <f t="shared" si="279"/>
        <v>#N/A</v>
      </c>
      <c r="G498" s="2" t="e">
        <f t="shared" si="280"/>
        <v>#N/A</v>
      </c>
      <c r="I498" s="2" t="e">
        <f t="shared" si="281"/>
        <v>#N/A</v>
      </c>
      <c r="J498" s="2" t="e">
        <f t="shared" si="282"/>
        <v>#N/A</v>
      </c>
      <c r="L498" s="2" t="e">
        <f t="shared" si="283"/>
        <v>#N/A</v>
      </c>
      <c r="M498" s="2" t="e">
        <f t="shared" si="284"/>
        <v>#N/A</v>
      </c>
      <c r="O498" s="2" t="e">
        <f t="shared" si="285"/>
        <v>#N/A</v>
      </c>
      <c r="P498" s="2" t="e">
        <f t="shared" si="286"/>
        <v>#N/A</v>
      </c>
      <c r="R498" s="2" t="e">
        <f t="shared" si="287"/>
        <v>#N/A</v>
      </c>
      <c r="S498" s="2" t="e">
        <f t="shared" si="288"/>
        <v>#N/A</v>
      </c>
      <c r="U498" s="2" t="e">
        <f t="shared" si="289"/>
        <v>#N/A</v>
      </c>
      <c r="V498" s="2" t="e">
        <f t="shared" si="290"/>
        <v>#N/A</v>
      </c>
      <c r="X498" s="2" t="e">
        <f t="shared" si="291"/>
        <v>#N/A</v>
      </c>
      <c r="Y498" s="2" t="e">
        <f t="shared" si="292"/>
        <v>#N/A</v>
      </c>
      <c r="AA498" s="2" t="e">
        <f t="shared" si="293"/>
        <v>#N/A</v>
      </c>
      <c r="AB498" s="2" t="e">
        <f t="shared" si="294"/>
        <v>#N/A</v>
      </c>
    </row>
    <row r="499" spans="1:29" s="2" customFormat="1">
      <c r="A499" s="70">
        <v>315</v>
      </c>
      <c r="C499" s="2" t="e">
        <f t="shared" si="277"/>
        <v>#N/A</v>
      </c>
      <c r="D499" s="2" t="e">
        <f t="shared" si="278"/>
        <v>#N/A</v>
      </c>
      <c r="F499" s="2" t="e">
        <f t="shared" si="279"/>
        <v>#N/A</v>
      </c>
      <c r="G499" s="2" t="e">
        <f t="shared" si="280"/>
        <v>#N/A</v>
      </c>
      <c r="I499" s="2" t="e">
        <f t="shared" si="281"/>
        <v>#N/A</v>
      </c>
      <c r="J499" s="2" t="e">
        <f t="shared" si="282"/>
        <v>#N/A</v>
      </c>
      <c r="L499" s="2" t="e">
        <f t="shared" si="283"/>
        <v>#N/A</v>
      </c>
      <c r="M499" s="2" t="e">
        <f t="shared" si="284"/>
        <v>#N/A</v>
      </c>
      <c r="O499" s="2" t="e">
        <f t="shared" si="285"/>
        <v>#N/A</v>
      </c>
      <c r="P499" s="2" t="e">
        <f t="shared" si="286"/>
        <v>#N/A</v>
      </c>
      <c r="R499" s="2" t="e">
        <f t="shared" si="287"/>
        <v>#N/A</v>
      </c>
      <c r="S499" s="2" t="e">
        <f t="shared" si="288"/>
        <v>#N/A</v>
      </c>
      <c r="U499" s="2" t="e">
        <f t="shared" si="289"/>
        <v>#N/A</v>
      </c>
      <c r="V499" s="2" t="e">
        <f t="shared" si="290"/>
        <v>#N/A</v>
      </c>
      <c r="X499" s="2" t="e">
        <f t="shared" si="291"/>
        <v>#N/A</v>
      </c>
      <c r="Y499" s="2" t="e">
        <f t="shared" si="292"/>
        <v>#N/A</v>
      </c>
      <c r="AA499" s="2" t="e">
        <f t="shared" si="293"/>
        <v>#N/A</v>
      </c>
      <c r="AB499" s="2" t="e">
        <f t="shared" si="294"/>
        <v>#N/A</v>
      </c>
    </row>
    <row r="500" spans="1:29" s="2" customFormat="1">
      <c r="A500" s="70">
        <v>330</v>
      </c>
      <c r="C500" s="2" t="e">
        <f t="shared" si="277"/>
        <v>#N/A</v>
      </c>
      <c r="D500" s="2" t="e">
        <f t="shared" si="278"/>
        <v>#N/A</v>
      </c>
      <c r="F500" s="2" t="e">
        <f t="shared" si="279"/>
        <v>#N/A</v>
      </c>
      <c r="G500" s="2" t="e">
        <f t="shared" si="280"/>
        <v>#N/A</v>
      </c>
      <c r="I500" s="2" t="e">
        <f t="shared" si="281"/>
        <v>#N/A</v>
      </c>
      <c r="J500" s="2" t="e">
        <f t="shared" si="282"/>
        <v>#N/A</v>
      </c>
      <c r="L500" s="2" t="e">
        <f t="shared" si="283"/>
        <v>#N/A</v>
      </c>
      <c r="M500" s="2" t="e">
        <f t="shared" si="284"/>
        <v>#N/A</v>
      </c>
      <c r="O500" s="2" t="e">
        <f t="shared" si="285"/>
        <v>#N/A</v>
      </c>
      <c r="P500" s="2" t="e">
        <f t="shared" si="286"/>
        <v>#N/A</v>
      </c>
      <c r="R500" s="2" t="e">
        <f t="shared" si="287"/>
        <v>#N/A</v>
      </c>
      <c r="S500" s="2" t="e">
        <f t="shared" si="288"/>
        <v>#N/A</v>
      </c>
      <c r="U500" s="2" t="e">
        <f t="shared" si="289"/>
        <v>#N/A</v>
      </c>
      <c r="V500" s="2" t="e">
        <f t="shared" si="290"/>
        <v>#N/A</v>
      </c>
      <c r="X500" s="2" t="e">
        <f t="shared" si="291"/>
        <v>#N/A</v>
      </c>
      <c r="Y500" s="2" t="e">
        <f t="shared" si="292"/>
        <v>#N/A</v>
      </c>
      <c r="AA500" s="2" t="e">
        <f t="shared" si="293"/>
        <v>#N/A</v>
      </c>
      <c r="AB500" s="2" t="e">
        <f t="shared" si="294"/>
        <v>#N/A</v>
      </c>
    </row>
    <row r="501" spans="1:29" s="2" customFormat="1">
      <c r="A501" s="70">
        <v>345</v>
      </c>
      <c r="C501" s="2" t="e">
        <f t="shared" si="277"/>
        <v>#N/A</v>
      </c>
      <c r="D501" s="2" t="e">
        <f t="shared" si="278"/>
        <v>#N/A</v>
      </c>
      <c r="F501" s="2" t="e">
        <f t="shared" si="279"/>
        <v>#N/A</v>
      </c>
      <c r="G501" s="2" t="e">
        <f t="shared" si="280"/>
        <v>#N/A</v>
      </c>
      <c r="I501" s="2" t="e">
        <f t="shared" si="281"/>
        <v>#N/A</v>
      </c>
      <c r="J501" s="2" t="e">
        <f t="shared" si="282"/>
        <v>#N/A</v>
      </c>
      <c r="L501" s="2" t="e">
        <f t="shared" si="283"/>
        <v>#N/A</v>
      </c>
      <c r="M501" s="2" t="e">
        <f t="shared" si="284"/>
        <v>#N/A</v>
      </c>
      <c r="O501" s="2" t="e">
        <f t="shared" si="285"/>
        <v>#N/A</v>
      </c>
      <c r="P501" s="2" t="e">
        <f t="shared" si="286"/>
        <v>#N/A</v>
      </c>
      <c r="R501" s="2" t="e">
        <f t="shared" si="287"/>
        <v>#N/A</v>
      </c>
      <c r="S501" s="2" t="e">
        <f t="shared" si="288"/>
        <v>#N/A</v>
      </c>
      <c r="U501" s="2" t="e">
        <f t="shared" si="289"/>
        <v>#N/A</v>
      </c>
      <c r="V501" s="2" t="e">
        <f t="shared" si="290"/>
        <v>#N/A</v>
      </c>
      <c r="X501" s="2" t="e">
        <f t="shared" si="291"/>
        <v>#N/A</v>
      </c>
      <c r="Y501" s="2" t="e">
        <f t="shared" si="292"/>
        <v>#N/A</v>
      </c>
      <c r="AA501" s="2" t="e">
        <f t="shared" si="293"/>
        <v>#N/A</v>
      </c>
      <c r="AB501" s="2" t="e">
        <f t="shared" si="294"/>
        <v>#N/A</v>
      </c>
    </row>
    <row r="502" spans="1:29" s="2" customFormat="1">
      <c r="A502" s="70">
        <v>360</v>
      </c>
      <c r="C502" s="2" t="e">
        <f t="shared" si="277"/>
        <v>#N/A</v>
      </c>
      <c r="D502" s="2" t="e">
        <f t="shared" si="278"/>
        <v>#N/A</v>
      </c>
      <c r="F502" s="2" t="e">
        <f t="shared" si="279"/>
        <v>#N/A</v>
      </c>
      <c r="G502" s="2" t="e">
        <f t="shared" si="280"/>
        <v>#N/A</v>
      </c>
      <c r="I502" s="2" t="e">
        <f t="shared" si="281"/>
        <v>#N/A</v>
      </c>
      <c r="J502" s="2" t="e">
        <f t="shared" si="282"/>
        <v>#N/A</v>
      </c>
      <c r="L502" s="2" t="e">
        <f t="shared" si="283"/>
        <v>#N/A</v>
      </c>
      <c r="M502" s="2" t="e">
        <f t="shared" si="284"/>
        <v>#N/A</v>
      </c>
      <c r="O502" s="2" t="e">
        <f t="shared" si="285"/>
        <v>#N/A</v>
      </c>
      <c r="P502" s="2" t="e">
        <f t="shared" si="286"/>
        <v>#N/A</v>
      </c>
      <c r="R502" s="2" t="e">
        <f t="shared" si="287"/>
        <v>#N/A</v>
      </c>
      <c r="S502" s="2" t="e">
        <f t="shared" si="288"/>
        <v>#N/A</v>
      </c>
      <c r="U502" s="2" t="e">
        <f t="shared" si="289"/>
        <v>#N/A</v>
      </c>
      <c r="V502" s="2" t="e">
        <f t="shared" si="290"/>
        <v>#N/A</v>
      </c>
      <c r="X502" s="2" t="e">
        <f t="shared" si="291"/>
        <v>#N/A</v>
      </c>
      <c r="Y502" s="2" t="e">
        <f t="shared" si="292"/>
        <v>#N/A</v>
      </c>
      <c r="AA502" s="2" t="e">
        <f t="shared" si="293"/>
        <v>#N/A</v>
      </c>
      <c r="AB502" s="2" t="e">
        <f t="shared" si="294"/>
        <v>#N/A</v>
      </c>
    </row>
    <row r="503" spans="1:29" s="2" customFormat="1">
      <c r="A503" s="70"/>
    </row>
    <row r="504" spans="1:29" s="2" customFormat="1">
      <c r="A504" s="70">
        <v>0</v>
      </c>
      <c r="B504" s="70">
        <v>8</v>
      </c>
      <c r="C504" s="70" t="e">
        <f t="shared" ref="C504:C528" si="295">IF(AND(AG$3,C$568&gt;0),(E$17+1)*COS($A504*PI()/180)+C$568,NA())</f>
        <v>#N/A</v>
      </c>
      <c r="D504" s="70" t="e">
        <f t="shared" ref="D504:D528" si="296">IF(AND(AG$3,C$568&gt;0),(E$17+1)*SIN($A504*PI()/180)+E$16,NA())</f>
        <v>#N/A</v>
      </c>
      <c r="E504" s="70"/>
      <c r="F504" s="70" t="e">
        <f t="shared" ref="F504:F528" si="297">IF(AND(AH$3,F$568&gt;0),(H$17+1)*COS($A504*PI()/180)+F$568,NA())</f>
        <v>#N/A</v>
      </c>
      <c r="G504" s="70" t="e">
        <f t="shared" ref="G504:G528" si="298">IF(AND(AH$3,F$568&gt;0),(H$17+1)*SIN($A504*PI()/180)+H$16,NA())</f>
        <v>#N/A</v>
      </c>
      <c r="H504" s="70"/>
      <c r="I504" s="70" t="e">
        <f t="shared" ref="I504:I528" si="299">IF(AND(AI$3,I$568&gt;0),(K$17+1)*COS($A504*PI()/180)+I$568,NA())</f>
        <v>#N/A</v>
      </c>
      <c r="J504" s="70" t="e">
        <f t="shared" ref="J504:J528" si="300">IF(AND(AI$3,I$568&gt;0),(K$17+1)*SIN($A504*PI()/180)+K$16,NA())</f>
        <v>#N/A</v>
      </c>
      <c r="K504" s="70"/>
      <c r="L504" s="70" t="e">
        <f t="shared" ref="L504:L528" si="301">IF(AND(AJ$3,L$568&gt;0),(N$17+1)*COS($A504*PI()/180)+L$568,NA())</f>
        <v>#N/A</v>
      </c>
      <c r="M504" s="70" t="e">
        <f t="shared" ref="M504:M528" si="302">IF(AND(AJ$3,L$568&gt;0),(N$17+1)*SIN($A504*PI()/180)+N$16,NA())</f>
        <v>#N/A</v>
      </c>
      <c r="N504" s="70"/>
      <c r="O504" s="70" t="e">
        <f t="shared" ref="O504:O528" si="303">IF(AND(AK$3,O$568&gt;0),(Q$17+1)*COS($A504*PI()/180)+O$568,NA())</f>
        <v>#N/A</v>
      </c>
      <c r="P504" s="70" t="e">
        <f t="shared" ref="P504:P528" si="304">IF(AND(AK$3,O$568&gt;0),(Q$17+1)*SIN($A504*PI()/180)+Q$16,NA())</f>
        <v>#N/A</v>
      </c>
      <c r="Q504" s="70"/>
      <c r="R504" s="70" t="e">
        <f t="shared" ref="R504:R528" si="305">IF(AND(AL$3,R$568&gt;0),(T$17+1)*COS($A504*PI()/180)+R$568,NA())</f>
        <v>#N/A</v>
      </c>
      <c r="S504" s="70" t="e">
        <f t="shared" ref="S504:S528" si="306">IF(AND(AL$3,R$568&gt;0),(T$17+1)*SIN($A504*PI()/180)+T$16,NA())</f>
        <v>#N/A</v>
      </c>
      <c r="T504" s="70"/>
      <c r="U504" s="70" t="e">
        <f t="shared" ref="U504:U528" si="307">IF(AND(AM$3,U$568&gt;0),(W$17+1)*COS($A504*PI()/180)+U$568,NA())</f>
        <v>#N/A</v>
      </c>
      <c r="V504" s="70" t="e">
        <f t="shared" ref="V504:V528" si="308">IF(AND(AM$3,U$568&gt;0),(W$17+1)*SIN($A504*PI()/180)+W$16,NA())</f>
        <v>#N/A</v>
      </c>
      <c r="W504" s="70"/>
      <c r="X504" s="70" t="e">
        <f t="shared" ref="X504:X528" si="309">IF(AND(AN$3,X$568&gt;0),(Z$17+1)*COS($A504*PI()/180)+X$568,NA())</f>
        <v>#N/A</v>
      </c>
      <c r="Y504" s="70" t="e">
        <f t="shared" ref="Y504:Y528" si="310">IF(AND(AN$3,X$568&gt;0),(Z$17+1)*SIN($A504*PI()/180)+Z$16,NA())</f>
        <v>#N/A</v>
      </c>
      <c r="Z504" s="70"/>
      <c r="AA504" s="70" t="e">
        <f t="shared" ref="AA504:AA528" si="311">IF(AND(AO$3,AA$568&gt;0),(AC$17+1)*COS($A504*PI()/180)+AA$568,NA())</f>
        <v>#N/A</v>
      </c>
      <c r="AB504" s="70" t="e">
        <f t="shared" ref="AB504:AB528" si="312">IF(AND(AO$3,AA$568&gt;0),(AC$17+1)*SIN($A504*PI()/180)+AC$16,NA())</f>
        <v>#N/A</v>
      </c>
      <c r="AC504" s="70"/>
    </row>
    <row r="505" spans="1:29" s="2" customFormat="1">
      <c r="A505" s="70">
        <v>15</v>
      </c>
      <c r="B505" s="70"/>
      <c r="C505" s="70" t="e">
        <f t="shared" si="295"/>
        <v>#N/A</v>
      </c>
      <c r="D505" s="70" t="e">
        <f t="shared" si="296"/>
        <v>#N/A</v>
      </c>
      <c r="E505" s="70"/>
      <c r="F505" s="70" t="e">
        <f t="shared" si="297"/>
        <v>#N/A</v>
      </c>
      <c r="G505" s="70" t="e">
        <f t="shared" si="298"/>
        <v>#N/A</v>
      </c>
      <c r="H505" s="70"/>
      <c r="I505" s="70" t="e">
        <f t="shared" si="299"/>
        <v>#N/A</v>
      </c>
      <c r="J505" s="70" t="e">
        <f t="shared" si="300"/>
        <v>#N/A</v>
      </c>
      <c r="K505" s="70"/>
      <c r="L505" s="70" t="e">
        <f t="shared" si="301"/>
        <v>#N/A</v>
      </c>
      <c r="M505" s="70" t="e">
        <f t="shared" si="302"/>
        <v>#N/A</v>
      </c>
      <c r="N505" s="70"/>
      <c r="O505" s="70" t="e">
        <f t="shared" si="303"/>
        <v>#N/A</v>
      </c>
      <c r="P505" s="70" t="e">
        <f t="shared" si="304"/>
        <v>#N/A</v>
      </c>
      <c r="Q505" s="70"/>
      <c r="R505" s="70" t="e">
        <f t="shared" si="305"/>
        <v>#N/A</v>
      </c>
      <c r="S505" s="70" t="e">
        <f t="shared" si="306"/>
        <v>#N/A</v>
      </c>
      <c r="T505" s="70"/>
      <c r="U505" s="70" t="e">
        <f t="shared" si="307"/>
        <v>#N/A</v>
      </c>
      <c r="V505" s="70" t="e">
        <f t="shared" si="308"/>
        <v>#N/A</v>
      </c>
      <c r="W505" s="70"/>
      <c r="X505" s="70" t="e">
        <f t="shared" si="309"/>
        <v>#N/A</v>
      </c>
      <c r="Y505" s="70" t="e">
        <f t="shared" si="310"/>
        <v>#N/A</v>
      </c>
      <c r="Z505" s="70"/>
      <c r="AA505" s="70" t="e">
        <f t="shared" si="311"/>
        <v>#N/A</v>
      </c>
      <c r="AB505" s="70" t="e">
        <f t="shared" si="312"/>
        <v>#N/A</v>
      </c>
      <c r="AC505" s="70"/>
    </row>
    <row r="506" spans="1:29" s="2" customFormat="1">
      <c r="A506" s="70">
        <v>30</v>
      </c>
      <c r="B506" s="70"/>
      <c r="C506" s="70" t="e">
        <f t="shared" si="295"/>
        <v>#N/A</v>
      </c>
      <c r="D506" s="70" t="e">
        <f t="shared" si="296"/>
        <v>#N/A</v>
      </c>
      <c r="E506" s="70"/>
      <c r="F506" s="70" t="e">
        <f t="shared" si="297"/>
        <v>#N/A</v>
      </c>
      <c r="G506" s="70" t="e">
        <f t="shared" si="298"/>
        <v>#N/A</v>
      </c>
      <c r="H506" s="70"/>
      <c r="I506" s="70" t="e">
        <f t="shared" si="299"/>
        <v>#N/A</v>
      </c>
      <c r="J506" s="70" t="e">
        <f t="shared" si="300"/>
        <v>#N/A</v>
      </c>
      <c r="K506" s="70"/>
      <c r="L506" s="70" t="e">
        <f t="shared" si="301"/>
        <v>#N/A</v>
      </c>
      <c r="M506" s="70" t="e">
        <f t="shared" si="302"/>
        <v>#N/A</v>
      </c>
      <c r="N506" s="70"/>
      <c r="O506" s="70" t="e">
        <f t="shared" si="303"/>
        <v>#N/A</v>
      </c>
      <c r="P506" s="70" t="e">
        <f t="shared" si="304"/>
        <v>#N/A</v>
      </c>
      <c r="Q506" s="70"/>
      <c r="R506" s="70" t="e">
        <f t="shared" si="305"/>
        <v>#N/A</v>
      </c>
      <c r="S506" s="70" t="e">
        <f t="shared" si="306"/>
        <v>#N/A</v>
      </c>
      <c r="T506" s="70"/>
      <c r="U506" s="70" t="e">
        <f t="shared" si="307"/>
        <v>#N/A</v>
      </c>
      <c r="V506" s="70" t="e">
        <f t="shared" si="308"/>
        <v>#N/A</v>
      </c>
      <c r="W506" s="70"/>
      <c r="X506" s="70" t="e">
        <f t="shared" si="309"/>
        <v>#N/A</v>
      </c>
      <c r="Y506" s="70" t="e">
        <f t="shared" si="310"/>
        <v>#N/A</v>
      </c>
      <c r="Z506" s="70"/>
      <c r="AA506" s="70" t="e">
        <f t="shared" si="311"/>
        <v>#N/A</v>
      </c>
      <c r="AB506" s="70" t="e">
        <f t="shared" si="312"/>
        <v>#N/A</v>
      </c>
      <c r="AC506" s="70"/>
    </row>
    <row r="507" spans="1:29" s="2" customFormat="1">
      <c r="A507" s="70">
        <v>45</v>
      </c>
      <c r="B507" s="70"/>
      <c r="C507" s="70" t="e">
        <f t="shared" si="295"/>
        <v>#N/A</v>
      </c>
      <c r="D507" s="70" t="e">
        <f t="shared" si="296"/>
        <v>#N/A</v>
      </c>
      <c r="E507" s="70"/>
      <c r="F507" s="70" t="e">
        <f t="shared" si="297"/>
        <v>#N/A</v>
      </c>
      <c r="G507" s="70" t="e">
        <f t="shared" si="298"/>
        <v>#N/A</v>
      </c>
      <c r="H507" s="70"/>
      <c r="I507" s="70" t="e">
        <f t="shared" si="299"/>
        <v>#N/A</v>
      </c>
      <c r="J507" s="70" t="e">
        <f t="shared" si="300"/>
        <v>#N/A</v>
      </c>
      <c r="K507" s="70"/>
      <c r="L507" s="70" t="e">
        <f t="shared" si="301"/>
        <v>#N/A</v>
      </c>
      <c r="M507" s="70" t="e">
        <f t="shared" si="302"/>
        <v>#N/A</v>
      </c>
      <c r="N507" s="70"/>
      <c r="O507" s="70" t="e">
        <f t="shared" si="303"/>
        <v>#N/A</v>
      </c>
      <c r="P507" s="70" t="e">
        <f t="shared" si="304"/>
        <v>#N/A</v>
      </c>
      <c r="Q507" s="70"/>
      <c r="R507" s="70" t="e">
        <f t="shared" si="305"/>
        <v>#N/A</v>
      </c>
      <c r="S507" s="70" t="e">
        <f t="shared" si="306"/>
        <v>#N/A</v>
      </c>
      <c r="T507" s="70"/>
      <c r="U507" s="70" t="e">
        <f t="shared" si="307"/>
        <v>#N/A</v>
      </c>
      <c r="V507" s="70" t="e">
        <f t="shared" si="308"/>
        <v>#N/A</v>
      </c>
      <c r="W507" s="70"/>
      <c r="X507" s="70" t="e">
        <f t="shared" si="309"/>
        <v>#N/A</v>
      </c>
      <c r="Y507" s="70" t="e">
        <f t="shared" si="310"/>
        <v>#N/A</v>
      </c>
      <c r="Z507" s="70"/>
      <c r="AA507" s="70" t="e">
        <f t="shared" si="311"/>
        <v>#N/A</v>
      </c>
      <c r="AB507" s="70" t="e">
        <f t="shared" si="312"/>
        <v>#N/A</v>
      </c>
      <c r="AC507" s="70"/>
    </row>
    <row r="508" spans="1:29" s="2" customFormat="1">
      <c r="A508" s="70">
        <v>60</v>
      </c>
      <c r="B508" s="70"/>
      <c r="C508" s="70" t="e">
        <f t="shared" si="295"/>
        <v>#N/A</v>
      </c>
      <c r="D508" s="70" t="e">
        <f t="shared" si="296"/>
        <v>#N/A</v>
      </c>
      <c r="E508" s="70"/>
      <c r="F508" s="70" t="e">
        <f t="shared" si="297"/>
        <v>#N/A</v>
      </c>
      <c r="G508" s="70" t="e">
        <f t="shared" si="298"/>
        <v>#N/A</v>
      </c>
      <c r="H508" s="70"/>
      <c r="I508" s="70" t="e">
        <f t="shared" si="299"/>
        <v>#N/A</v>
      </c>
      <c r="J508" s="70" t="e">
        <f t="shared" si="300"/>
        <v>#N/A</v>
      </c>
      <c r="K508" s="70"/>
      <c r="L508" s="70" t="e">
        <f t="shared" si="301"/>
        <v>#N/A</v>
      </c>
      <c r="M508" s="70" t="e">
        <f t="shared" si="302"/>
        <v>#N/A</v>
      </c>
      <c r="N508" s="70"/>
      <c r="O508" s="70" t="e">
        <f t="shared" si="303"/>
        <v>#N/A</v>
      </c>
      <c r="P508" s="70" t="e">
        <f t="shared" si="304"/>
        <v>#N/A</v>
      </c>
      <c r="Q508" s="70"/>
      <c r="R508" s="70" t="e">
        <f t="shared" si="305"/>
        <v>#N/A</v>
      </c>
      <c r="S508" s="70" t="e">
        <f t="shared" si="306"/>
        <v>#N/A</v>
      </c>
      <c r="T508" s="70"/>
      <c r="U508" s="70" t="e">
        <f t="shared" si="307"/>
        <v>#N/A</v>
      </c>
      <c r="V508" s="70" t="e">
        <f t="shared" si="308"/>
        <v>#N/A</v>
      </c>
      <c r="W508" s="70"/>
      <c r="X508" s="70" t="e">
        <f t="shared" si="309"/>
        <v>#N/A</v>
      </c>
      <c r="Y508" s="70" t="e">
        <f t="shared" si="310"/>
        <v>#N/A</v>
      </c>
      <c r="Z508" s="70"/>
      <c r="AA508" s="70" t="e">
        <f t="shared" si="311"/>
        <v>#N/A</v>
      </c>
      <c r="AB508" s="70" t="e">
        <f t="shared" si="312"/>
        <v>#N/A</v>
      </c>
      <c r="AC508" s="70"/>
    </row>
    <row r="509" spans="1:29" s="2" customFormat="1">
      <c r="A509" s="70">
        <v>75</v>
      </c>
      <c r="B509" s="70"/>
      <c r="C509" s="70" t="e">
        <f t="shared" si="295"/>
        <v>#N/A</v>
      </c>
      <c r="D509" s="70" t="e">
        <f t="shared" si="296"/>
        <v>#N/A</v>
      </c>
      <c r="E509" s="70"/>
      <c r="F509" s="70" t="e">
        <f t="shared" si="297"/>
        <v>#N/A</v>
      </c>
      <c r="G509" s="70" t="e">
        <f t="shared" si="298"/>
        <v>#N/A</v>
      </c>
      <c r="H509" s="70"/>
      <c r="I509" s="70" t="e">
        <f t="shared" si="299"/>
        <v>#N/A</v>
      </c>
      <c r="J509" s="70" t="e">
        <f t="shared" si="300"/>
        <v>#N/A</v>
      </c>
      <c r="K509" s="70"/>
      <c r="L509" s="70" t="e">
        <f t="shared" si="301"/>
        <v>#N/A</v>
      </c>
      <c r="M509" s="70" t="e">
        <f t="shared" si="302"/>
        <v>#N/A</v>
      </c>
      <c r="N509" s="70"/>
      <c r="O509" s="70" t="e">
        <f t="shared" si="303"/>
        <v>#N/A</v>
      </c>
      <c r="P509" s="70" t="e">
        <f t="shared" si="304"/>
        <v>#N/A</v>
      </c>
      <c r="Q509" s="70"/>
      <c r="R509" s="70" t="e">
        <f t="shared" si="305"/>
        <v>#N/A</v>
      </c>
      <c r="S509" s="70" t="e">
        <f t="shared" si="306"/>
        <v>#N/A</v>
      </c>
      <c r="T509" s="70"/>
      <c r="U509" s="70" t="e">
        <f t="shared" si="307"/>
        <v>#N/A</v>
      </c>
      <c r="V509" s="70" t="e">
        <f t="shared" si="308"/>
        <v>#N/A</v>
      </c>
      <c r="W509" s="70"/>
      <c r="X509" s="70" t="e">
        <f t="shared" si="309"/>
        <v>#N/A</v>
      </c>
      <c r="Y509" s="70" t="e">
        <f t="shared" si="310"/>
        <v>#N/A</v>
      </c>
      <c r="Z509" s="70"/>
      <c r="AA509" s="70" t="e">
        <f t="shared" si="311"/>
        <v>#N/A</v>
      </c>
      <c r="AB509" s="70" t="e">
        <f t="shared" si="312"/>
        <v>#N/A</v>
      </c>
      <c r="AC509" s="70"/>
    </row>
    <row r="510" spans="1:29" s="2" customFormat="1">
      <c r="A510" s="70">
        <v>90</v>
      </c>
      <c r="B510" s="70"/>
      <c r="C510" s="70" t="e">
        <f t="shared" si="295"/>
        <v>#N/A</v>
      </c>
      <c r="D510" s="70" t="e">
        <f t="shared" si="296"/>
        <v>#N/A</v>
      </c>
      <c r="E510" s="70"/>
      <c r="F510" s="70" t="e">
        <f t="shared" si="297"/>
        <v>#N/A</v>
      </c>
      <c r="G510" s="70" t="e">
        <f t="shared" si="298"/>
        <v>#N/A</v>
      </c>
      <c r="H510" s="70"/>
      <c r="I510" s="70" t="e">
        <f t="shared" si="299"/>
        <v>#N/A</v>
      </c>
      <c r="J510" s="70" t="e">
        <f t="shared" si="300"/>
        <v>#N/A</v>
      </c>
      <c r="K510" s="70"/>
      <c r="L510" s="70" t="e">
        <f t="shared" si="301"/>
        <v>#N/A</v>
      </c>
      <c r="M510" s="70" t="e">
        <f t="shared" si="302"/>
        <v>#N/A</v>
      </c>
      <c r="N510" s="70"/>
      <c r="O510" s="70" t="e">
        <f t="shared" si="303"/>
        <v>#N/A</v>
      </c>
      <c r="P510" s="70" t="e">
        <f t="shared" si="304"/>
        <v>#N/A</v>
      </c>
      <c r="Q510" s="70"/>
      <c r="R510" s="70" t="e">
        <f t="shared" si="305"/>
        <v>#N/A</v>
      </c>
      <c r="S510" s="70" t="e">
        <f t="shared" si="306"/>
        <v>#N/A</v>
      </c>
      <c r="T510" s="70"/>
      <c r="U510" s="70" t="e">
        <f t="shared" si="307"/>
        <v>#N/A</v>
      </c>
      <c r="V510" s="70" t="e">
        <f t="shared" si="308"/>
        <v>#N/A</v>
      </c>
      <c r="W510" s="70"/>
      <c r="X510" s="70" t="e">
        <f t="shared" si="309"/>
        <v>#N/A</v>
      </c>
      <c r="Y510" s="70" t="e">
        <f t="shared" si="310"/>
        <v>#N/A</v>
      </c>
      <c r="Z510" s="70"/>
      <c r="AA510" s="70" t="e">
        <f t="shared" si="311"/>
        <v>#N/A</v>
      </c>
      <c r="AB510" s="70" t="e">
        <f t="shared" si="312"/>
        <v>#N/A</v>
      </c>
      <c r="AC510" s="70"/>
    </row>
    <row r="511" spans="1:29" s="2" customFormat="1">
      <c r="A511" s="70">
        <v>105</v>
      </c>
      <c r="B511" s="70"/>
      <c r="C511" s="70" t="e">
        <f t="shared" si="295"/>
        <v>#N/A</v>
      </c>
      <c r="D511" s="70" t="e">
        <f t="shared" si="296"/>
        <v>#N/A</v>
      </c>
      <c r="E511" s="70"/>
      <c r="F511" s="70" t="e">
        <f t="shared" si="297"/>
        <v>#N/A</v>
      </c>
      <c r="G511" s="70" t="e">
        <f t="shared" si="298"/>
        <v>#N/A</v>
      </c>
      <c r="H511" s="70"/>
      <c r="I511" s="70" t="e">
        <f t="shared" si="299"/>
        <v>#N/A</v>
      </c>
      <c r="J511" s="70" t="e">
        <f t="shared" si="300"/>
        <v>#N/A</v>
      </c>
      <c r="K511" s="70"/>
      <c r="L511" s="70" t="e">
        <f t="shared" si="301"/>
        <v>#N/A</v>
      </c>
      <c r="M511" s="70" t="e">
        <f t="shared" si="302"/>
        <v>#N/A</v>
      </c>
      <c r="N511" s="70"/>
      <c r="O511" s="70" t="e">
        <f t="shared" si="303"/>
        <v>#N/A</v>
      </c>
      <c r="P511" s="70" t="e">
        <f t="shared" si="304"/>
        <v>#N/A</v>
      </c>
      <c r="Q511" s="70"/>
      <c r="R511" s="70" t="e">
        <f t="shared" si="305"/>
        <v>#N/A</v>
      </c>
      <c r="S511" s="70" t="e">
        <f t="shared" si="306"/>
        <v>#N/A</v>
      </c>
      <c r="T511" s="70"/>
      <c r="U511" s="70" t="e">
        <f t="shared" si="307"/>
        <v>#N/A</v>
      </c>
      <c r="V511" s="70" t="e">
        <f t="shared" si="308"/>
        <v>#N/A</v>
      </c>
      <c r="W511" s="70"/>
      <c r="X511" s="70" t="e">
        <f t="shared" si="309"/>
        <v>#N/A</v>
      </c>
      <c r="Y511" s="70" t="e">
        <f t="shared" si="310"/>
        <v>#N/A</v>
      </c>
      <c r="Z511" s="70"/>
      <c r="AA511" s="70" t="e">
        <f t="shared" si="311"/>
        <v>#N/A</v>
      </c>
      <c r="AB511" s="70" t="e">
        <f t="shared" si="312"/>
        <v>#N/A</v>
      </c>
      <c r="AC511" s="70"/>
    </row>
    <row r="512" spans="1:29" s="2" customFormat="1">
      <c r="A512" s="70">
        <v>120</v>
      </c>
      <c r="B512" s="70"/>
      <c r="C512" s="70" t="e">
        <f t="shared" si="295"/>
        <v>#N/A</v>
      </c>
      <c r="D512" s="70" t="e">
        <f t="shared" si="296"/>
        <v>#N/A</v>
      </c>
      <c r="E512" s="70"/>
      <c r="F512" s="70" t="e">
        <f t="shared" si="297"/>
        <v>#N/A</v>
      </c>
      <c r="G512" s="70" t="e">
        <f t="shared" si="298"/>
        <v>#N/A</v>
      </c>
      <c r="H512" s="70"/>
      <c r="I512" s="70" t="e">
        <f t="shared" si="299"/>
        <v>#N/A</v>
      </c>
      <c r="J512" s="70" t="e">
        <f t="shared" si="300"/>
        <v>#N/A</v>
      </c>
      <c r="K512" s="70"/>
      <c r="L512" s="70" t="e">
        <f t="shared" si="301"/>
        <v>#N/A</v>
      </c>
      <c r="M512" s="70" t="e">
        <f t="shared" si="302"/>
        <v>#N/A</v>
      </c>
      <c r="N512" s="70"/>
      <c r="O512" s="70" t="e">
        <f t="shared" si="303"/>
        <v>#N/A</v>
      </c>
      <c r="P512" s="70" t="e">
        <f t="shared" si="304"/>
        <v>#N/A</v>
      </c>
      <c r="Q512" s="70"/>
      <c r="R512" s="70" t="e">
        <f t="shared" si="305"/>
        <v>#N/A</v>
      </c>
      <c r="S512" s="70" t="e">
        <f t="shared" si="306"/>
        <v>#N/A</v>
      </c>
      <c r="T512" s="70"/>
      <c r="U512" s="70" t="e">
        <f t="shared" si="307"/>
        <v>#N/A</v>
      </c>
      <c r="V512" s="70" t="e">
        <f t="shared" si="308"/>
        <v>#N/A</v>
      </c>
      <c r="W512" s="70"/>
      <c r="X512" s="70" t="e">
        <f t="shared" si="309"/>
        <v>#N/A</v>
      </c>
      <c r="Y512" s="70" t="e">
        <f t="shared" si="310"/>
        <v>#N/A</v>
      </c>
      <c r="Z512" s="70"/>
      <c r="AA512" s="70" t="e">
        <f t="shared" si="311"/>
        <v>#N/A</v>
      </c>
      <c r="AB512" s="70" t="e">
        <f t="shared" si="312"/>
        <v>#N/A</v>
      </c>
      <c r="AC512" s="70"/>
    </row>
    <row r="513" spans="1:29" s="2" customFormat="1">
      <c r="A513" s="70">
        <v>135</v>
      </c>
      <c r="B513" s="70"/>
      <c r="C513" s="70" t="e">
        <f t="shared" si="295"/>
        <v>#N/A</v>
      </c>
      <c r="D513" s="70" t="e">
        <f t="shared" si="296"/>
        <v>#N/A</v>
      </c>
      <c r="E513" s="70"/>
      <c r="F513" s="70" t="e">
        <f t="shared" si="297"/>
        <v>#N/A</v>
      </c>
      <c r="G513" s="70" t="e">
        <f t="shared" si="298"/>
        <v>#N/A</v>
      </c>
      <c r="H513" s="70"/>
      <c r="I513" s="70" t="e">
        <f t="shared" si="299"/>
        <v>#N/A</v>
      </c>
      <c r="J513" s="70" t="e">
        <f t="shared" si="300"/>
        <v>#N/A</v>
      </c>
      <c r="K513" s="70"/>
      <c r="L513" s="70" t="e">
        <f t="shared" si="301"/>
        <v>#N/A</v>
      </c>
      <c r="M513" s="70" t="e">
        <f t="shared" si="302"/>
        <v>#N/A</v>
      </c>
      <c r="N513" s="70"/>
      <c r="O513" s="70" t="e">
        <f t="shared" si="303"/>
        <v>#N/A</v>
      </c>
      <c r="P513" s="70" t="e">
        <f t="shared" si="304"/>
        <v>#N/A</v>
      </c>
      <c r="Q513" s="70"/>
      <c r="R513" s="70" t="e">
        <f t="shared" si="305"/>
        <v>#N/A</v>
      </c>
      <c r="S513" s="70" t="e">
        <f t="shared" si="306"/>
        <v>#N/A</v>
      </c>
      <c r="T513" s="70"/>
      <c r="U513" s="70" t="e">
        <f t="shared" si="307"/>
        <v>#N/A</v>
      </c>
      <c r="V513" s="70" t="e">
        <f t="shared" si="308"/>
        <v>#N/A</v>
      </c>
      <c r="W513" s="70"/>
      <c r="X513" s="70" t="e">
        <f t="shared" si="309"/>
        <v>#N/A</v>
      </c>
      <c r="Y513" s="70" t="e">
        <f t="shared" si="310"/>
        <v>#N/A</v>
      </c>
      <c r="Z513" s="70"/>
      <c r="AA513" s="70" t="e">
        <f t="shared" si="311"/>
        <v>#N/A</v>
      </c>
      <c r="AB513" s="70" t="e">
        <f t="shared" si="312"/>
        <v>#N/A</v>
      </c>
      <c r="AC513" s="70"/>
    </row>
    <row r="514" spans="1:29" s="2" customFormat="1">
      <c r="A514" s="70">
        <v>150</v>
      </c>
      <c r="B514" s="70"/>
      <c r="C514" s="70" t="e">
        <f t="shared" si="295"/>
        <v>#N/A</v>
      </c>
      <c r="D514" s="70" t="e">
        <f t="shared" si="296"/>
        <v>#N/A</v>
      </c>
      <c r="E514" s="70"/>
      <c r="F514" s="70" t="e">
        <f t="shared" si="297"/>
        <v>#N/A</v>
      </c>
      <c r="G514" s="70" t="e">
        <f t="shared" si="298"/>
        <v>#N/A</v>
      </c>
      <c r="H514" s="70"/>
      <c r="I514" s="70" t="e">
        <f t="shared" si="299"/>
        <v>#N/A</v>
      </c>
      <c r="J514" s="70" t="e">
        <f t="shared" si="300"/>
        <v>#N/A</v>
      </c>
      <c r="K514" s="70"/>
      <c r="L514" s="70" t="e">
        <f t="shared" si="301"/>
        <v>#N/A</v>
      </c>
      <c r="M514" s="70" t="e">
        <f t="shared" si="302"/>
        <v>#N/A</v>
      </c>
      <c r="N514" s="70"/>
      <c r="O514" s="70" t="e">
        <f t="shared" si="303"/>
        <v>#N/A</v>
      </c>
      <c r="P514" s="70" t="e">
        <f t="shared" si="304"/>
        <v>#N/A</v>
      </c>
      <c r="Q514" s="70"/>
      <c r="R514" s="70" t="e">
        <f t="shared" si="305"/>
        <v>#N/A</v>
      </c>
      <c r="S514" s="70" t="e">
        <f t="shared" si="306"/>
        <v>#N/A</v>
      </c>
      <c r="T514" s="70"/>
      <c r="U514" s="70" t="e">
        <f t="shared" si="307"/>
        <v>#N/A</v>
      </c>
      <c r="V514" s="70" t="e">
        <f t="shared" si="308"/>
        <v>#N/A</v>
      </c>
      <c r="W514" s="70"/>
      <c r="X514" s="70" t="e">
        <f t="shared" si="309"/>
        <v>#N/A</v>
      </c>
      <c r="Y514" s="70" t="e">
        <f t="shared" si="310"/>
        <v>#N/A</v>
      </c>
      <c r="Z514" s="70"/>
      <c r="AA514" s="70" t="e">
        <f t="shared" si="311"/>
        <v>#N/A</v>
      </c>
      <c r="AB514" s="70" t="e">
        <f t="shared" si="312"/>
        <v>#N/A</v>
      </c>
      <c r="AC514" s="70"/>
    </row>
    <row r="515" spans="1:29" s="2" customFormat="1">
      <c r="A515" s="70">
        <v>165</v>
      </c>
      <c r="B515" s="70"/>
      <c r="C515" s="70" t="e">
        <f t="shared" si="295"/>
        <v>#N/A</v>
      </c>
      <c r="D515" s="70" t="e">
        <f t="shared" si="296"/>
        <v>#N/A</v>
      </c>
      <c r="E515" s="70"/>
      <c r="F515" s="70" t="e">
        <f t="shared" si="297"/>
        <v>#N/A</v>
      </c>
      <c r="G515" s="70" t="e">
        <f t="shared" si="298"/>
        <v>#N/A</v>
      </c>
      <c r="H515" s="70"/>
      <c r="I515" s="70" t="e">
        <f t="shared" si="299"/>
        <v>#N/A</v>
      </c>
      <c r="J515" s="70" t="e">
        <f t="shared" si="300"/>
        <v>#N/A</v>
      </c>
      <c r="K515" s="70"/>
      <c r="L515" s="70" t="e">
        <f t="shared" si="301"/>
        <v>#N/A</v>
      </c>
      <c r="M515" s="70" t="e">
        <f t="shared" si="302"/>
        <v>#N/A</v>
      </c>
      <c r="N515" s="70"/>
      <c r="O515" s="70" t="e">
        <f t="shared" si="303"/>
        <v>#N/A</v>
      </c>
      <c r="P515" s="70" t="e">
        <f t="shared" si="304"/>
        <v>#N/A</v>
      </c>
      <c r="Q515" s="70"/>
      <c r="R515" s="70" t="e">
        <f t="shared" si="305"/>
        <v>#N/A</v>
      </c>
      <c r="S515" s="70" t="e">
        <f t="shared" si="306"/>
        <v>#N/A</v>
      </c>
      <c r="T515" s="70"/>
      <c r="U515" s="70" t="e">
        <f t="shared" si="307"/>
        <v>#N/A</v>
      </c>
      <c r="V515" s="70" t="e">
        <f t="shared" si="308"/>
        <v>#N/A</v>
      </c>
      <c r="W515" s="70"/>
      <c r="X515" s="70" t="e">
        <f t="shared" si="309"/>
        <v>#N/A</v>
      </c>
      <c r="Y515" s="70" t="e">
        <f t="shared" si="310"/>
        <v>#N/A</v>
      </c>
      <c r="Z515" s="70"/>
      <c r="AA515" s="70" t="e">
        <f t="shared" si="311"/>
        <v>#N/A</v>
      </c>
      <c r="AB515" s="70" t="e">
        <f t="shared" si="312"/>
        <v>#N/A</v>
      </c>
      <c r="AC515" s="70"/>
    </row>
    <row r="516" spans="1:29" s="2" customFormat="1">
      <c r="A516" s="70">
        <v>180</v>
      </c>
      <c r="B516" s="70"/>
      <c r="C516" s="70" t="e">
        <f t="shared" si="295"/>
        <v>#N/A</v>
      </c>
      <c r="D516" s="70" t="e">
        <f t="shared" si="296"/>
        <v>#N/A</v>
      </c>
      <c r="E516" s="70"/>
      <c r="F516" s="70" t="e">
        <f t="shared" si="297"/>
        <v>#N/A</v>
      </c>
      <c r="G516" s="70" t="e">
        <f t="shared" si="298"/>
        <v>#N/A</v>
      </c>
      <c r="H516" s="70"/>
      <c r="I516" s="70" t="e">
        <f t="shared" si="299"/>
        <v>#N/A</v>
      </c>
      <c r="J516" s="70" t="e">
        <f t="shared" si="300"/>
        <v>#N/A</v>
      </c>
      <c r="K516" s="70"/>
      <c r="L516" s="70" t="e">
        <f t="shared" si="301"/>
        <v>#N/A</v>
      </c>
      <c r="M516" s="70" t="e">
        <f t="shared" si="302"/>
        <v>#N/A</v>
      </c>
      <c r="N516" s="70"/>
      <c r="O516" s="70" t="e">
        <f t="shared" si="303"/>
        <v>#N/A</v>
      </c>
      <c r="P516" s="70" t="e">
        <f t="shared" si="304"/>
        <v>#N/A</v>
      </c>
      <c r="Q516" s="70"/>
      <c r="R516" s="70" t="e">
        <f t="shared" si="305"/>
        <v>#N/A</v>
      </c>
      <c r="S516" s="70" t="e">
        <f t="shared" si="306"/>
        <v>#N/A</v>
      </c>
      <c r="T516" s="70"/>
      <c r="U516" s="70" t="e">
        <f t="shared" si="307"/>
        <v>#N/A</v>
      </c>
      <c r="V516" s="70" t="e">
        <f t="shared" si="308"/>
        <v>#N/A</v>
      </c>
      <c r="W516" s="70"/>
      <c r="X516" s="70" t="e">
        <f t="shared" si="309"/>
        <v>#N/A</v>
      </c>
      <c r="Y516" s="70" t="e">
        <f t="shared" si="310"/>
        <v>#N/A</v>
      </c>
      <c r="Z516" s="70"/>
      <c r="AA516" s="70" t="e">
        <f t="shared" si="311"/>
        <v>#N/A</v>
      </c>
      <c r="AB516" s="70" t="e">
        <f t="shared" si="312"/>
        <v>#N/A</v>
      </c>
      <c r="AC516" s="70"/>
    </row>
    <row r="517" spans="1:29" s="2" customFormat="1">
      <c r="A517" s="70">
        <v>195</v>
      </c>
      <c r="B517" s="70"/>
      <c r="C517" s="70" t="e">
        <f t="shared" si="295"/>
        <v>#N/A</v>
      </c>
      <c r="D517" s="70" t="e">
        <f t="shared" si="296"/>
        <v>#N/A</v>
      </c>
      <c r="E517" s="70"/>
      <c r="F517" s="70" t="e">
        <f t="shared" si="297"/>
        <v>#N/A</v>
      </c>
      <c r="G517" s="70" t="e">
        <f t="shared" si="298"/>
        <v>#N/A</v>
      </c>
      <c r="H517" s="70"/>
      <c r="I517" s="70" t="e">
        <f t="shared" si="299"/>
        <v>#N/A</v>
      </c>
      <c r="J517" s="70" t="e">
        <f t="shared" si="300"/>
        <v>#N/A</v>
      </c>
      <c r="K517" s="70"/>
      <c r="L517" s="70" t="e">
        <f t="shared" si="301"/>
        <v>#N/A</v>
      </c>
      <c r="M517" s="70" t="e">
        <f t="shared" si="302"/>
        <v>#N/A</v>
      </c>
      <c r="N517" s="70"/>
      <c r="O517" s="70" t="e">
        <f t="shared" si="303"/>
        <v>#N/A</v>
      </c>
      <c r="P517" s="70" t="e">
        <f t="shared" si="304"/>
        <v>#N/A</v>
      </c>
      <c r="Q517" s="70"/>
      <c r="R517" s="70" t="e">
        <f t="shared" si="305"/>
        <v>#N/A</v>
      </c>
      <c r="S517" s="70" t="e">
        <f t="shared" si="306"/>
        <v>#N/A</v>
      </c>
      <c r="T517" s="70"/>
      <c r="U517" s="70" t="e">
        <f t="shared" si="307"/>
        <v>#N/A</v>
      </c>
      <c r="V517" s="70" t="e">
        <f t="shared" si="308"/>
        <v>#N/A</v>
      </c>
      <c r="W517" s="70"/>
      <c r="X517" s="70" t="e">
        <f t="shared" si="309"/>
        <v>#N/A</v>
      </c>
      <c r="Y517" s="70" t="e">
        <f t="shared" si="310"/>
        <v>#N/A</v>
      </c>
      <c r="Z517" s="70"/>
      <c r="AA517" s="70" t="e">
        <f t="shared" si="311"/>
        <v>#N/A</v>
      </c>
      <c r="AB517" s="70" t="e">
        <f t="shared" si="312"/>
        <v>#N/A</v>
      </c>
      <c r="AC517" s="70"/>
    </row>
    <row r="518" spans="1:29" s="2" customFormat="1">
      <c r="A518" s="70">
        <v>210</v>
      </c>
      <c r="B518" s="70"/>
      <c r="C518" s="70" t="e">
        <f t="shared" si="295"/>
        <v>#N/A</v>
      </c>
      <c r="D518" s="70" t="e">
        <f t="shared" si="296"/>
        <v>#N/A</v>
      </c>
      <c r="E518" s="70"/>
      <c r="F518" s="70" t="e">
        <f t="shared" si="297"/>
        <v>#N/A</v>
      </c>
      <c r="G518" s="70" t="e">
        <f t="shared" si="298"/>
        <v>#N/A</v>
      </c>
      <c r="H518" s="70"/>
      <c r="I518" s="70" t="e">
        <f t="shared" si="299"/>
        <v>#N/A</v>
      </c>
      <c r="J518" s="70" t="e">
        <f t="shared" si="300"/>
        <v>#N/A</v>
      </c>
      <c r="K518" s="70"/>
      <c r="L518" s="70" t="e">
        <f t="shared" si="301"/>
        <v>#N/A</v>
      </c>
      <c r="M518" s="70" t="e">
        <f t="shared" si="302"/>
        <v>#N/A</v>
      </c>
      <c r="N518" s="70"/>
      <c r="O518" s="70" t="e">
        <f t="shared" si="303"/>
        <v>#N/A</v>
      </c>
      <c r="P518" s="70" t="e">
        <f t="shared" si="304"/>
        <v>#N/A</v>
      </c>
      <c r="Q518" s="70"/>
      <c r="R518" s="70" t="e">
        <f t="shared" si="305"/>
        <v>#N/A</v>
      </c>
      <c r="S518" s="70" t="e">
        <f t="shared" si="306"/>
        <v>#N/A</v>
      </c>
      <c r="T518" s="70"/>
      <c r="U518" s="70" t="e">
        <f t="shared" si="307"/>
        <v>#N/A</v>
      </c>
      <c r="V518" s="70" t="e">
        <f t="shared" si="308"/>
        <v>#N/A</v>
      </c>
      <c r="W518" s="70"/>
      <c r="X518" s="70" t="e">
        <f t="shared" si="309"/>
        <v>#N/A</v>
      </c>
      <c r="Y518" s="70" t="e">
        <f t="shared" si="310"/>
        <v>#N/A</v>
      </c>
      <c r="Z518" s="70"/>
      <c r="AA518" s="70" t="e">
        <f t="shared" si="311"/>
        <v>#N/A</v>
      </c>
      <c r="AB518" s="70" t="e">
        <f t="shared" si="312"/>
        <v>#N/A</v>
      </c>
      <c r="AC518" s="70"/>
    </row>
    <row r="519" spans="1:29" s="2" customFormat="1">
      <c r="A519" s="70">
        <v>225</v>
      </c>
      <c r="B519" s="70"/>
      <c r="C519" s="70" t="e">
        <f t="shared" si="295"/>
        <v>#N/A</v>
      </c>
      <c r="D519" s="70" t="e">
        <f t="shared" si="296"/>
        <v>#N/A</v>
      </c>
      <c r="E519" s="70"/>
      <c r="F519" s="70" t="e">
        <f t="shared" si="297"/>
        <v>#N/A</v>
      </c>
      <c r="G519" s="70" t="e">
        <f t="shared" si="298"/>
        <v>#N/A</v>
      </c>
      <c r="H519" s="70"/>
      <c r="I519" s="70" t="e">
        <f t="shared" si="299"/>
        <v>#N/A</v>
      </c>
      <c r="J519" s="70" t="e">
        <f t="shared" si="300"/>
        <v>#N/A</v>
      </c>
      <c r="K519" s="70"/>
      <c r="L519" s="70" t="e">
        <f t="shared" si="301"/>
        <v>#N/A</v>
      </c>
      <c r="M519" s="70" t="e">
        <f t="shared" si="302"/>
        <v>#N/A</v>
      </c>
      <c r="N519" s="70"/>
      <c r="O519" s="70" t="e">
        <f t="shared" si="303"/>
        <v>#N/A</v>
      </c>
      <c r="P519" s="70" t="e">
        <f t="shared" si="304"/>
        <v>#N/A</v>
      </c>
      <c r="Q519" s="70"/>
      <c r="R519" s="70" t="e">
        <f t="shared" si="305"/>
        <v>#N/A</v>
      </c>
      <c r="S519" s="70" t="e">
        <f t="shared" si="306"/>
        <v>#N/A</v>
      </c>
      <c r="T519" s="70"/>
      <c r="U519" s="70" t="e">
        <f t="shared" si="307"/>
        <v>#N/A</v>
      </c>
      <c r="V519" s="70" t="e">
        <f t="shared" si="308"/>
        <v>#N/A</v>
      </c>
      <c r="W519" s="70"/>
      <c r="X519" s="70" t="e">
        <f t="shared" si="309"/>
        <v>#N/A</v>
      </c>
      <c r="Y519" s="70" t="e">
        <f t="shared" si="310"/>
        <v>#N/A</v>
      </c>
      <c r="Z519" s="70"/>
      <c r="AA519" s="70" t="e">
        <f t="shared" si="311"/>
        <v>#N/A</v>
      </c>
      <c r="AB519" s="70" t="e">
        <f t="shared" si="312"/>
        <v>#N/A</v>
      </c>
      <c r="AC519" s="70"/>
    </row>
    <row r="520" spans="1:29" s="2" customFormat="1">
      <c r="A520" s="70">
        <v>240</v>
      </c>
      <c r="B520" s="70"/>
      <c r="C520" s="70" t="e">
        <f t="shared" si="295"/>
        <v>#N/A</v>
      </c>
      <c r="D520" s="70" t="e">
        <f t="shared" si="296"/>
        <v>#N/A</v>
      </c>
      <c r="E520" s="70"/>
      <c r="F520" s="70" t="e">
        <f t="shared" si="297"/>
        <v>#N/A</v>
      </c>
      <c r="G520" s="70" t="e">
        <f t="shared" si="298"/>
        <v>#N/A</v>
      </c>
      <c r="H520" s="70"/>
      <c r="I520" s="70" t="e">
        <f t="shared" si="299"/>
        <v>#N/A</v>
      </c>
      <c r="J520" s="70" t="e">
        <f t="shared" si="300"/>
        <v>#N/A</v>
      </c>
      <c r="K520" s="70"/>
      <c r="L520" s="70" t="e">
        <f t="shared" si="301"/>
        <v>#N/A</v>
      </c>
      <c r="M520" s="70" t="e">
        <f t="shared" si="302"/>
        <v>#N/A</v>
      </c>
      <c r="N520" s="70"/>
      <c r="O520" s="70" t="e">
        <f t="shared" si="303"/>
        <v>#N/A</v>
      </c>
      <c r="P520" s="70" t="e">
        <f t="shared" si="304"/>
        <v>#N/A</v>
      </c>
      <c r="Q520" s="70"/>
      <c r="R520" s="70" t="e">
        <f t="shared" si="305"/>
        <v>#N/A</v>
      </c>
      <c r="S520" s="70" t="e">
        <f t="shared" si="306"/>
        <v>#N/A</v>
      </c>
      <c r="T520" s="70"/>
      <c r="U520" s="70" t="e">
        <f t="shared" si="307"/>
        <v>#N/A</v>
      </c>
      <c r="V520" s="70" t="e">
        <f t="shared" si="308"/>
        <v>#N/A</v>
      </c>
      <c r="W520" s="70"/>
      <c r="X520" s="70" t="e">
        <f t="shared" si="309"/>
        <v>#N/A</v>
      </c>
      <c r="Y520" s="70" t="e">
        <f t="shared" si="310"/>
        <v>#N/A</v>
      </c>
      <c r="Z520" s="70"/>
      <c r="AA520" s="70" t="e">
        <f t="shared" si="311"/>
        <v>#N/A</v>
      </c>
      <c r="AB520" s="70" t="e">
        <f t="shared" si="312"/>
        <v>#N/A</v>
      </c>
      <c r="AC520" s="70"/>
    </row>
    <row r="521" spans="1:29" s="2" customFormat="1">
      <c r="A521" s="70">
        <v>255</v>
      </c>
      <c r="B521" s="70"/>
      <c r="C521" s="70" t="e">
        <f t="shared" si="295"/>
        <v>#N/A</v>
      </c>
      <c r="D521" s="70" t="e">
        <f t="shared" si="296"/>
        <v>#N/A</v>
      </c>
      <c r="E521" s="70"/>
      <c r="F521" s="70" t="e">
        <f t="shared" si="297"/>
        <v>#N/A</v>
      </c>
      <c r="G521" s="70" t="e">
        <f t="shared" si="298"/>
        <v>#N/A</v>
      </c>
      <c r="H521" s="70"/>
      <c r="I521" s="70" t="e">
        <f t="shared" si="299"/>
        <v>#N/A</v>
      </c>
      <c r="J521" s="70" t="e">
        <f t="shared" si="300"/>
        <v>#N/A</v>
      </c>
      <c r="K521" s="70"/>
      <c r="L521" s="70" t="e">
        <f t="shared" si="301"/>
        <v>#N/A</v>
      </c>
      <c r="M521" s="70" t="e">
        <f t="shared" si="302"/>
        <v>#N/A</v>
      </c>
      <c r="N521" s="70"/>
      <c r="O521" s="70" t="e">
        <f t="shared" si="303"/>
        <v>#N/A</v>
      </c>
      <c r="P521" s="70" t="e">
        <f t="shared" si="304"/>
        <v>#N/A</v>
      </c>
      <c r="Q521" s="70"/>
      <c r="R521" s="70" t="e">
        <f t="shared" si="305"/>
        <v>#N/A</v>
      </c>
      <c r="S521" s="70" t="e">
        <f t="shared" si="306"/>
        <v>#N/A</v>
      </c>
      <c r="T521" s="70"/>
      <c r="U521" s="70" t="e">
        <f t="shared" si="307"/>
        <v>#N/A</v>
      </c>
      <c r="V521" s="70" t="e">
        <f t="shared" si="308"/>
        <v>#N/A</v>
      </c>
      <c r="W521" s="70"/>
      <c r="X521" s="70" t="e">
        <f t="shared" si="309"/>
        <v>#N/A</v>
      </c>
      <c r="Y521" s="70" t="e">
        <f t="shared" si="310"/>
        <v>#N/A</v>
      </c>
      <c r="Z521" s="70"/>
      <c r="AA521" s="70" t="e">
        <f t="shared" si="311"/>
        <v>#N/A</v>
      </c>
      <c r="AB521" s="70" t="e">
        <f t="shared" si="312"/>
        <v>#N/A</v>
      </c>
      <c r="AC521" s="70"/>
    </row>
    <row r="522" spans="1:29" s="2" customFormat="1">
      <c r="A522" s="70">
        <v>270</v>
      </c>
      <c r="B522" s="70"/>
      <c r="C522" s="70" t="e">
        <f t="shared" si="295"/>
        <v>#N/A</v>
      </c>
      <c r="D522" s="70" t="e">
        <f t="shared" si="296"/>
        <v>#N/A</v>
      </c>
      <c r="E522" s="70"/>
      <c r="F522" s="70" t="e">
        <f t="shared" si="297"/>
        <v>#N/A</v>
      </c>
      <c r="G522" s="70" t="e">
        <f t="shared" si="298"/>
        <v>#N/A</v>
      </c>
      <c r="H522" s="70"/>
      <c r="I522" s="70" t="e">
        <f t="shared" si="299"/>
        <v>#N/A</v>
      </c>
      <c r="J522" s="70" t="e">
        <f t="shared" si="300"/>
        <v>#N/A</v>
      </c>
      <c r="K522" s="70"/>
      <c r="L522" s="70" t="e">
        <f t="shared" si="301"/>
        <v>#N/A</v>
      </c>
      <c r="M522" s="70" t="e">
        <f t="shared" si="302"/>
        <v>#N/A</v>
      </c>
      <c r="N522" s="70"/>
      <c r="O522" s="70" t="e">
        <f t="shared" si="303"/>
        <v>#N/A</v>
      </c>
      <c r="P522" s="70" t="e">
        <f t="shared" si="304"/>
        <v>#N/A</v>
      </c>
      <c r="Q522" s="70"/>
      <c r="R522" s="70" t="e">
        <f t="shared" si="305"/>
        <v>#N/A</v>
      </c>
      <c r="S522" s="70" t="e">
        <f t="shared" si="306"/>
        <v>#N/A</v>
      </c>
      <c r="T522" s="70"/>
      <c r="U522" s="70" t="e">
        <f t="shared" si="307"/>
        <v>#N/A</v>
      </c>
      <c r="V522" s="70" t="e">
        <f t="shared" si="308"/>
        <v>#N/A</v>
      </c>
      <c r="W522" s="70"/>
      <c r="X522" s="70" t="e">
        <f t="shared" si="309"/>
        <v>#N/A</v>
      </c>
      <c r="Y522" s="70" t="e">
        <f t="shared" si="310"/>
        <v>#N/A</v>
      </c>
      <c r="Z522" s="70"/>
      <c r="AA522" s="70" t="e">
        <f t="shared" si="311"/>
        <v>#N/A</v>
      </c>
      <c r="AB522" s="70" t="e">
        <f t="shared" si="312"/>
        <v>#N/A</v>
      </c>
      <c r="AC522" s="70"/>
    </row>
    <row r="523" spans="1:29" s="2" customFormat="1">
      <c r="A523" s="70">
        <v>285</v>
      </c>
      <c r="B523" s="70"/>
      <c r="C523" s="70" t="e">
        <f t="shared" si="295"/>
        <v>#N/A</v>
      </c>
      <c r="D523" s="70" t="e">
        <f t="shared" si="296"/>
        <v>#N/A</v>
      </c>
      <c r="E523" s="70"/>
      <c r="F523" s="70" t="e">
        <f t="shared" si="297"/>
        <v>#N/A</v>
      </c>
      <c r="G523" s="70" t="e">
        <f t="shared" si="298"/>
        <v>#N/A</v>
      </c>
      <c r="H523" s="70"/>
      <c r="I523" s="70" t="e">
        <f t="shared" si="299"/>
        <v>#N/A</v>
      </c>
      <c r="J523" s="70" t="e">
        <f t="shared" si="300"/>
        <v>#N/A</v>
      </c>
      <c r="K523" s="70"/>
      <c r="L523" s="70" t="e">
        <f t="shared" si="301"/>
        <v>#N/A</v>
      </c>
      <c r="M523" s="70" t="e">
        <f t="shared" si="302"/>
        <v>#N/A</v>
      </c>
      <c r="N523" s="70"/>
      <c r="O523" s="70" t="e">
        <f t="shared" si="303"/>
        <v>#N/A</v>
      </c>
      <c r="P523" s="70" t="e">
        <f t="shared" si="304"/>
        <v>#N/A</v>
      </c>
      <c r="Q523" s="70"/>
      <c r="R523" s="70" t="e">
        <f t="shared" si="305"/>
        <v>#N/A</v>
      </c>
      <c r="S523" s="70" t="e">
        <f t="shared" si="306"/>
        <v>#N/A</v>
      </c>
      <c r="T523" s="70"/>
      <c r="U523" s="70" t="e">
        <f t="shared" si="307"/>
        <v>#N/A</v>
      </c>
      <c r="V523" s="70" t="e">
        <f t="shared" si="308"/>
        <v>#N/A</v>
      </c>
      <c r="W523" s="70"/>
      <c r="X523" s="70" t="e">
        <f t="shared" si="309"/>
        <v>#N/A</v>
      </c>
      <c r="Y523" s="70" t="e">
        <f t="shared" si="310"/>
        <v>#N/A</v>
      </c>
      <c r="Z523" s="70"/>
      <c r="AA523" s="70" t="e">
        <f t="shared" si="311"/>
        <v>#N/A</v>
      </c>
      <c r="AB523" s="70" t="e">
        <f t="shared" si="312"/>
        <v>#N/A</v>
      </c>
      <c r="AC523" s="70"/>
    </row>
    <row r="524" spans="1:29" s="2" customFormat="1">
      <c r="A524" s="70">
        <v>300</v>
      </c>
      <c r="B524" s="70"/>
      <c r="C524" s="70" t="e">
        <f t="shared" si="295"/>
        <v>#N/A</v>
      </c>
      <c r="D524" s="70" t="e">
        <f t="shared" si="296"/>
        <v>#N/A</v>
      </c>
      <c r="E524" s="70"/>
      <c r="F524" s="70" t="e">
        <f t="shared" si="297"/>
        <v>#N/A</v>
      </c>
      <c r="G524" s="70" t="e">
        <f t="shared" si="298"/>
        <v>#N/A</v>
      </c>
      <c r="H524" s="70"/>
      <c r="I524" s="70" t="e">
        <f t="shared" si="299"/>
        <v>#N/A</v>
      </c>
      <c r="J524" s="70" t="e">
        <f t="shared" si="300"/>
        <v>#N/A</v>
      </c>
      <c r="K524" s="70"/>
      <c r="L524" s="70" t="e">
        <f t="shared" si="301"/>
        <v>#N/A</v>
      </c>
      <c r="M524" s="70" t="e">
        <f t="shared" si="302"/>
        <v>#N/A</v>
      </c>
      <c r="N524" s="70"/>
      <c r="O524" s="70" t="e">
        <f t="shared" si="303"/>
        <v>#N/A</v>
      </c>
      <c r="P524" s="70" t="e">
        <f t="shared" si="304"/>
        <v>#N/A</v>
      </c>
      <c r="Q524" s="70"/>
      <c r="R524" s="70" t="e">
        <f t="shared" si="305"/>
        <v>#N/A</v>
      </c>
      <c r="S524" s="70" t="e">
        <f t="shared" si="306"/>
        <v>#N/A</v>
      </c>
      <c r="T524" s="70"/>
      <c r="U524" s="70" t="e">
        <f t="shared" si="307"/>
        <v>#N/A</v>
      </c>
      <c r="V524" s="70" t="e">
        <f t="shared" si="308"/>
        <v>#N/A</v>
      </c>
      <c r="W524" s="70"/>
      <c r="X524" s="70" t="e">
        <f t="shared" si="309"/>
        <v>#N/A</v>
      </c>
      <c r="Y524" s="70" t="e">
        <f t="shared" si="310"/>
        <v>#N/A</v>
      </c>
      <c r="Z524" s="70"/>
      <c r="AA524" s="70" t="e">
        <f t="shared" si="311"/>
        <v>#N/A</v>
      </c>
      <c r="AB524" s="70" t="e">
        <f t="shared" si="312"/>
        <v>#N/A</v>
      </c>
      <c r="AC524" s="70"/>
    </row>
    <row r="525" spans="1:29" s="2" customFormat="1">
      <c r="A525" s="70">
        <v>315</v>
      </c>
      <c r="B525" s="70"/>
      <c r="C525" s="70" t="e">
        <f t="shared" si="295"/>
        <v>#N/A</v>
      </c>
      <c r="D525" s="70" t="e">
        <f t="shared" si="296"/>
        <v>#N/A</v>
      </c>
      <c r="E525" s="70"/>
      <c r="F525" s="70" t="e">
        <f t="shared" si="297"/>
        <v>#N/A</v>
      </c>
      <c r="G525" s="70" t="e">
        <f t="shared" si="298"/>
        <v>#N/A</v>
      </c>
      <c r="H525" s="70"/>
      <c r="I525" s="70" t="e">
        <f t="shared" si="299"/>
        <v>#N/A</v>
      </c>
      <c r="J525" s="70" t="e">
        <f t="shared" si="300"/>
        <v>#N/A</v>
      </c>
      <c r="K525" s="70"/>
      <c r="L525" s="70" t="e">
        <f t="shared" si="301"/>
        <v>#N/A</v>
      </c>
      <c r="M525" s="70" t="e">
        <f t="shared" si="302"/>
        <v>#N/A</v>
      </c>
      <c r="N525" s="70"/>
      <c r="O525" s="70" t="e">
        <f t="shared" si="303"/>
        <v>#N/A</v>
      </c>
      <c r="P525" s="70" t="e">
        <f t="shared" si="304"/>
        <v>#N/A</v>
      </c>
      <c r="Q525" s="70"/>
      <c r="R525" s="70" t="e">
        <f t="shared" si="305"/>
        <v>#N/A</v>
      </c>
      <c r="S525" s="70" t="e">
        <f t="shared" si="306"/>
        <v>#N/A</v>
      </c>
      <c r="T525" s="70"/>
      <c r="U525" s="70" t="e">
        <f t="shared" si="307"/>
        <v>#N/A</v>
      </c>
      <c r="V525" s="70" t="e">
        <f t="shared" si="308"/>
        <v>#N/A</v>
      </c>
      <c r="W525" s="70"/>
      <c r="X525" s="70" t="e">
        <f t="shared" si="309"/>
        <v>#N/A</v>
      </c>
      <c r="Y525" s="70" t="e">
        <f t="shared" si="310"/>
        <v>#N/A</v>
      </c>
      <c r="Z525" s="70"/>
      <c r="AA525" s="70" t="e">
        <f t="shared" si="311"/>
        <v>#N/A</v>
      </c>
      <c r="AB525" s="70" t="e">
        <f t="shared" si="312"/>
        <v>#N/A</v>
      </c>
      <c r="AC525" s="70"/>
    </row>
    <row r="526" spans="1:29" s="2" customFormat="1">
      <c r="A526" s="70">
        <v>330</v>
      </c>
      <c r="B526" s="70"/>
      <c r="C526" s="70" t="e">
        <f t="shared" si="295"/>
        <v>#N/A</v>
      </c>
      <c r="D526" s="70" t="e">
        <f t="shared" si="296"/>
        <v>#N/A</v>
      </c>
      <c r="E526" s="70"/>
      <c r="F526" s="70" t="e">
        <f t="shared" si="297"/>
        <v>#N/A</v>
      </c>
      <c r="G526" s="70" t="e">
        <f t="shared" si="298"/>
        <v>#N/A</v>
      </c>
      <c r="H526" s="70"/>
      <c r="I526" s="70" t="e">
        <f t="shared" si="299"/>
        <v>#N/A</v>
      </c>
      <c r="J526" s="70" t="e">
        <f t="shared" si="300"/>
        <v>#N/A</v>
      </c>
      <c r="K526" s="70"/>
      <c r="L526" s="70" t="e">
        <f t="shared" si="301"/>
        <v>#N/A</v>
      </c>
      <c r="M526" s="70" t="e">
        <f t="shared" si="302"/>
        <v>#N/A</v>
      </c>
      <c r="N526" s="70"/>
      <c r="O526" s="70" t="e">
        <f t="shared" si="303"/>
        <v>#N/A</v>
      </c>
      <c r="P526" s="70" t="e">
        <f t="shared" si="304"/>
        <v>#N/A</v>
      </c>
      <c r="Q526" s="70"/>
      <c r="R526" s="70" t="e">
        <f t="shared" si="305"/>
        <v>#N/A</v>
      </c>
      <c r="S526" s="70" t="e">
        <f t="shared" si="306"/>
        <v>#N/A</v>
      </c>
      <c r="T526" s="70"/>
      <c r="U526" s="70" t="e">
        <f t="shared" si="307"/>
        <v>#N/A</v>
      </c>
      <c r="V526" s="70" t="e">
        <f t="shared" si="308"/>
        <v>#N/A</v>
      </c>
      <c r="W526" s="70"/>
      <c r="X526" s="70" t="e">
        <f t="shared" si="309"/>
        <v>#N/A</v>
      </c>
      <c r="Y526" s="70" t="e">
        <f t="shared" si="310"/>
        <v>#N/A</v>
      </c>
      <c r="Z526" s="70"/>
      <c r="AA526" s="70" t="e">
        <f t="shared" si="311"/>
        <v>#N/A</v>
      </c>
      <c r="AB526" s="70" t="e">
        <f t="shared" si="312"/>
        <v>#N/A</v>
      </c>
      <c r="AC526" s="70"/>
    </row>
    <row r="527" spans="1:29" s="2" customFormat="1">
      <c r="A527" s="70">
        <v>345</v>
      </c>
      <c r="B527" s="70"/>
      <c r="C527" s="70" t="e">
        <f t="shared" si="295"/>
        <v>#N/A</v>
      </c>
      <c r="D527" s="70" t="e">
        <f t="shared" si="296"/>
        <v>#N/A</v>
      </c>
      <c r="E527" s="70"/>
      <c r="F527" s="70" t="e">
        <f t="shared" si="297"/>
        <v>#N/A</v>
      </c>
      <c r="G527" s="70" t="e">
        <f t="shared" si="298"/>
        <v>#N/A</v>
      </c>
      <c r="H527" s="70"/>
      <c r="I527" s="70" t="e">
        <f t="shared" si="299"/>
        <v>#N/A</v>
      </c>
      <c r="J527" s="70" t="e">
        <f t="shared" si="300"/>
        <v>#N/A</v>
      </c>
      <c r="K527" s="70"/>
      <c r="L527" s="70" t="e">
        <f t="shared" si="301"/>
        <v>#N/A</v>
      </c>
      <c r="M527" s="70" t="e">
        <f t="shared" si="302"/>
        <v>#N/A</v>
      </c>
      <c r="N527" s="70"/>
      <c r="O527" s="70" t="e">
        <f t="shared" si="303"/>
        <v>#N/A</v>
      </c>
      <c r="P527" s="70" t="e">
        <f t="shared" si="304"/>
        <v>#N/A</v>
      </c>
      <c r="Q527" s="70"/>
      <c r="R527" s="70" t="e">
        <f t="shared" si="305"/>
        <v>#N/A</v>
      </c>
      <c r="S527" s="70" t="e">
        <f t="shared" si="306"/>
        <v>#N/A</v>
      </c>
      <c r="T527" s="70"/>
      <c r="U527" s="70" t="e">
        <f t="shared" si="307"/>
        <v>#N/A</v>
      </c>
      <c r="V527" s="70" t="e">
        <f t="shared" si="308"/>
        <v>#N/A</v>
      </c>
      <c r="W527" s="70"/>
      <c r="X527" s="70" t="e">
        <f t="shared" si="309"/>
        <v>#N/A</v>
      </c>
      <c r="Y527" s="70" t="e">
        <f t="shared" si="310"/>
        <v>#N/A</v>
      </c>
      <c r="Z527" s="70"/>
      <c r="AA527" s="70" t="e">
        <f t="shared" si="311"/>
        <v>#N/A</v>
      </c>
      <c r="AB527" s="70" t="e">
        <f t="shared" si="312"/>
        <v>#N/A</v>
      </c>
      <c r="AC527" s="70"/>
    </row>
    <row r="528" spans="1:29" s="2" customFormat="1">
      <c r="A528" s="70">
        <v>360</v>
      </c>
      <c r="B528" s="70"/>
      <c r="C528" s="70" t="e">
        <f t="shared" si="295"/>
        <v>#N/A</v>
      </c>
      <c r="D528" s="70" t="e">
        <f t="shared" si="296"/>
        <v>#N/A</v>
      </c>
      <c r="E528" s="70"/>
      <c r="F528" s="70" t="e">
        <f t="shared" si="297"/>
        <v>#N/A</v>
      </c>
      <c r="G528" s="70" t="e">
        <f t="shared" si="298"/>
        <v>#N/A</v>
      </c>
      <c r="H528" s="70"/>
      <c r="I528" s="70" t="e">
        <f t="shared" si="299"/>
        <v>#N/A</v>
      </c>
      <c r="J528" s="70" t="e">
        <f t="shared" si="300"/>
        <v>#N/A</v>
      </c>
      <c r="K528" s="70"/>
      <c r="L528" s="70" t="e">
        <f t="shared" si="301"/>
        <v>#N/A</v>
      </c>
      <c r="M528" s="70" t="e">
        <f t="shared" si="302"/>
        <v>#N/A</v>
      </c>
      <c r="N528" s="70"/>
      <c r="O528" s="70" t="e">
        <f t="shared" si="303"/>
        <v>#N/A</v>
      </c>
      <c r="P528" s="70" t="e">
        <f t="shared" si="304"/>
        <v>#N/A</v>
      </c>
      <c r="Q528" s="70"/>
      <c r="R528" s="70" t="e">
        <f t="shared" si="305"/>
        <v>#N/A</v>
      </c>
      <c r="S528" s="70" t="e">
        <f t="shared" si="306"/>
        <v>#N/A</v>
      </c>
      <c r="T528" s="70"/>
      <c r="U528" s="70" t="e">
        <f t="shared" si="307"/>
        <v>#N/A</v>
      </c>
      <c r="V528" s="70" t="e">
        <f t="shared" si="308"/>
        <v>#N/A</v>
      </c>
      <c r="W528" s="70"/>
      <c r="X528" s="70" t="e">
        <f t="shared" si="309"/>
        <v>#N/A</v>
      </c>
      <c r="Y528" s="70" t="e">
        <f t="shared" si="310"/>
        <v>#N/A</v>
      </c>
      <c r="Z528" s="70"/>
      <c r="AA528" s="70" t="e">
        <f t="shared" si="311"/>
        <v>#N/A</v>
      </c>
      <c r="AB528" s="70" t="e">
        <f t="shared" si="312"/>
        <v>#N/A</v>
      </c>
      <c r="AC528" s="70"/>
    </row>
    <row r="529" spans="1:29" s="2" customFormat="1">
      <c r="A529" s="70"/>
      <c r="B529" s="70"/>
      <c r="C529" s="70" t="e">
        <f>IF(AND(C561&gt;0,$F9&gt;1,$F$7=TRUE),C561-1,-4)</f>
        <v>#N/A</v>
      </c>
      <c r="D529" s="70" t="e">
        <f>IF(AND(C561&gt;0,$F9&gt;1,$F$7=TRUE),E9-1,-4)</f>
        <v>#N/A</v>
      </c>
      <c r="E529" s="70"/>
      <c r="F529" s="70" t="e">
        <f>IF(AND(I561&gt;0,$I9&gt;1,$I$7=TRUE),I561-1,-4)</f>
        <v>#N/A</v>
      </c>
      <c r="G529" s="70" t="e">
        <f>IF(AND(I561&gt;0,$I9&gt;1,$I$7=TRUE),H9-1,-4)</f>
        <v>#N/A</v>
      </c>
      <c r="H529" s="70"/>
      <c r="I529" s="70" t="e">
        <f t="shared" ref="I529:I536" si="313">IF(AND(I561&gt;0,$L9&gt;1,$L$7=TRUE),I561-1,-4)</f>
        <v>#N/A</v>
      </c>
      <c r="J529" s="70" t="e">
        <f t="shared" ref="J529:J536" si="314">IF(AND(I561&gt;0,$L9&gt;1,$L$7=TRUE),K9-1,-4)</f>
        <v>#N/A</v>
      </c>
      <c r="K529" s="70"/>
      <c r="L529" s="70" t="e">
        <f t="shared" ref="L529:L536" si="315">IF(AND(L561&gt;0,$O9&gt;1,$O$7=TRUE),L561-1,-4)</f>
        <v>#N/A</v>
      </c>
      <c r="M529" s="70" t="e">
        <f t="shared" ref="M529:M536" si="316">IF(AND(L561&gt;0,$O9&gt;1,$O$7=TRUE),N9-1,-4)</f>
        <v>#N/A</v>
      </c>
      <c r="N529" s="70"/>
      <c r="O529" s="70" t="e">
        <f t="shared" ref="O529:O536" si="317">IF(AND(O561&gt;0,$R9&gt;1,$R$7=TRUE),O561-1,-4)</f>
        <v>#N/A</v>
      </c>
      <c r="P529" s="70" t="e">
        <f t="shared" ref="P529:P536" si="318">IF(AND(O561&gt;0,$R9&gt;1,$R$7=TRUE),Q9-1,-4)</f>
        <v>#N/A</v>
      </c>
      <c r="Q529" s="70"/>
      <c r="R529" s="70" t="e">
        <f t="shared" ref="R529:R536" si="319">IF(AND(R561&gt;0,$U9&gt;1,$U$7=TRUE),R561-1,-4)</f>
        <v>#N/A</v>
      </c>
      <c r="S529" s="70" t="e">
        <f t="shared" ref="S529:S536" si="320">IF(AND(R561&gt;0,$U9&gt;1,$U$7=TRUE),T9-1,-4)</f>
        <v>#N/A</v>
      </c>
      <c r="T529" s="70"/>
      <c r="U529" s="70" t="e">
        <f t="shared" ref="U529:U536" si="321">IF(AND(U561&gt;0,$X9&gt;1,$X$7=TRUE),U561-1,-4)</f>
        <v>#N/A</v>
      </c>
      <c r="V529" s="70" t="e">
        <f t="shared" ref="V529:V536" si="322">IF(AND(U561&gt;0,$X9&gt;1,$X$7=TRUE),W9-1,-4)</f>
        <v>#N/A</v>
      </c>
      <c r="W529" s="70"/>
      <c r="X529" s="70" t="e">
        <f t="shared" ref="X529:X536" si="323">IF(AND(X561&gt;0,$AA9&gt;1,$AA$7=TRUE),X561-1,-4)</f>
        <v>#N/A</v>
      </c>
      <c r="Y529" s="70" t="e">
        <f t="shared" ref="Y529:Y536" si="324">IF(AND(X561&gt;0,$AA9&gt;1,$AA$7=TRUE),Z9-1,-4)</f>
        <v>#N/A</v>
      </c>
      <c r="Z529" s="70"/>
      <c r="AA529" s="70" t="e">
        <f t="shared" ref="AA529:AA536" si="325">IF(AND(AA561&gt;0,$AD9&gt;1,$AD$7=TRUE),AA561-1,-4)</f>
        <v>#N/A</v>
      </c>
      <c r="AB529" s="70" t="e">
        <f t="shared" ref="AB529:AB536" si="326">IF(AND(AA561&gt;0,$AD9&gt;1,$AD$7=TRUE),AC9-1,-4)</f>
        <v>#N/A</v>
      </c>
      <c r="AC529" s="70"/>
    </row>
    <row r="530" spans="1:29" s="2" customFormat="1">
      <c r="A530" s="70"/>
      <c r="B530" s="70" t="s">
        <v>220</v>
      </c>
      <c r="C530" s="70" t="e">
        <f t="shared" ref="C530:C536" si="327">IF(AND(C562&gt;0,$F10&gt;1,$F$7=TRUE),C562-1,-4)</f>
        <v>#N/A</v>
      </c>
      <c r="D530" s="70" t="e">
        <f t="shared" ref="D530:D536" si="328">IF(AND(C562&gt;0,$F10&gt;1,$F$7=TRUE),E10-1,-4)</f>
        <v>#N/A</v>
      </c>
      <c r="E530" s="70"/>
      <c r="F530" s="70" t="e">
        <f t="shared" ref="F530:F536" si="329">IF(AND(F562&gt;0,$I10&gt;1,$I$7=TRUE),F562-1,-4)</f>
        <v>#N/A</v>
      </c>
      <c r="G530" s="70" t="e">
        <f t="shared" ref="G530:G536" si="330">IF(AND(F562&gt;0,$I10&gt;1,$I$7=TRUE),H10-1,-4)</f>
        <v>#N/A</v>
      </c>
      <c r="H530" s="70"/>
      <c r="I530" s="70" t="e">
        <f t="shared" si="313"/>
        <v>#N/A</v>
      </c>
      <c r="J530" s="70" t="e">
        <f t="shared" si="314"/>
        <v>#N/A</v>
      </c>
      <c r="K530" s="70"/>
      <c r="L530" s="70" t="e">
        <f t="shared" si="315"/>
        <v>#N/A</v>
      </c>
      <c r="M530" s="70" t="e">
        <f t="shared" si="316"/>
        <v>#N/A</v>
      </c>
      <c r="N530" s="70"/>
      <c r="O530" s="70" t="e">
        <f t="shared" si="317"/>
        <v>#N/A</v>
      </c>
      <c r="P530" s="70" t="e">
        <f t="shared" si="318"/>
        <v>#N/A</v>
      </c>
      <c r="Q530" s="70"/>
      <c r="R530" s="70" t="e">
        <f t="shared" si="319"/>
        <v>#N/A</v>
      </c>
      <c r="S530" s="70" t="e">
        <f t="shared" si="320"/>
        <v>#N/A</v>
      </c>
      <c r="T530" s="70"/>
      <c r="U530" s="70" t="e">
        <f t="shared" si="321"/>
        <v>#N/A</v>
      </c>
      <c r="V530" s="70" t="e">
        <f t="shared" si="322"/>
        <v>#N/A</v>
      </c>
      <c r="W530" s="70"/>
      <c r="X530" s="70" t="e">
        <f t="shared" si="323"/>
        <v>#N/A</v>
      </c>
      <c r="Y530" s="70" t="e">
        <f t="shared" si="324"/>
        <v>#N/A</v>
      </c>
      <c r="Z530" s="70"/>
      <c r="AA530" s="70" t="e">
        <f t="shared" si="325"/>
        <v>#N/A</v>
      </c>
      <c r="AB530" s="70" t="e">
        <f t="shared" si="326"/>
        <v>#N/A</v>
      </c>
      <c r="AC530" s="70"/>
    </row>
    <row r="531" spans="1:29" s="2" customFormat="1">
      <c r="A531" s="70"/>
      <c r="B531" s="70"/>
      <c r="C531" s="70" t="e">
        <f t="shared" si="327"/>
        <v>#N/A</v>
      </c>
      <c r="D531" s="70" t="e">
        <f t="shared" si="328"/>
        <v>#N/A</v>
      </c>
      <c r="E531" s="70"/>
      <c r="F531" s="70" t="e">
        <f t="shared" si="329"/>
        <v>#N/A</v>
      </c>
      <c r="G531" s="70" t="e">
        <f t="shared" si="330"/>
        <v>#N/A</v>
      </c>
      <c r="H531" s="70"/>
      <c r="I531" s="70" t="e">
        <f t="shared" si="313"/>
        <v>#N/A</v>
      </c>
      <c r="J531" s="70" t="e">
        <f t="shared" si="314"/>
        <v>#N/A</v>
      </c>
      <c r="K531" s="70"/>
      <c r="L531" s="70" t="e">
        <f t="shared" si="315"/>
        <v>#N/A</v>
      </c>
      <c r="M531" s="70" t="e">
        <f t="shared" si="316"/>
        <v>#N/A</v>
      </c>
      <c r="N531" s="70"/>
      <c r="O531" s="70" t="e">
        <f t="shared" si="317"/>
        <v>#N/A</v>
      </c>
      <c r="P531" s="70" t="e">
        <f t="shared" si="318"/>
        <v>#N/A</v>
      </c>
      <c r="Q531" s="70"/>
      <c r="R531" s="70" t="e">
        <f t="shared" si="319"/>
        <v>#N/A</v>
      </c>
      <c r="S531" s="70" t="e">
        <f t="shared" si="320"/>
        <v>#N/A</v>
      </c>
      <c r="T531" s="70"/>
      <c r="U531" s="70" t="e">
        <f t="shared" si="321"/>
        <v>#N/A</v>
      </c>
      <c r="V531" s="70" t="e">
        <f t="shared" si="322"/>
        <v>#N/A</v>
      </c>
      <c r="W531" s="70"/>
      <c r="X531" s="70" t="e">
        <f t="shared" si="323"/>
        <v>#N/A</v>
      </c>
      <c r="Y531" s="70" t="e">
        <f t="shared" si="324"/>
        <v>#N/A</v>
      </c>
      <c r="Z531" s="70"/>
      <c r="AA531" s="70" t="e">
        <f t="shared" si="325"/>
        <v>#N/A</v>
      </c>
      <c r="AB531" s="70" t="e">
        <f t="shared" si="326"/>
        <v>#N/A</v>
      </c>
      <c r="AC531" s="70"/>
    </row>
    <row r="532" spans="1:29" s="2" customFormat="1">
      <c r="A532" s="70"/>
      <c r="B532" s="70"/>
      <c r="C532" s="70" t="e">
        <f t="shared" si="327"/>
        <v>#N/A</v>
      </c>
      <c r="D532" s="70" t="e">
        <f t="shared" si="328"/>
        <v>#N/A</v>
      </c>
      <c r="E532" s="70"/>
      <c r="F532" s="70" t="e">
        <f t="shared" si="329"/>
        <v>#N/A</v>
      </c>
      <c r="G532" s="70" t="e">
        <f t="shared" si="330"/>
        <v>#N/A</v>
      </c>
      <c r="H532" s="70"/>
      <c r="I532" s="70" t="e">
        <f t="shared" si="313"/>
        <v>#N/A</v>
      </c>
      <c r="J532" s="70" t="e">
        <f t="shared" si="314"/>
        <v>#N/A</v>
      </c>
      <c r="K532" s="70"/>
      <c r="L532" s="70" t="e">
        <f t="shared" si="315"/>
        <v>#N/A</v>
      </c>
      <c r="M532" s="70" t="e">
        <f t="shared" si="316"/>
        <v>#N/A</v>
      </c>
      <c r="N532" s="70"/>
      <c r="O532" s="70" t="e">
        <f t="shared" si="317"/>
        <v>#N/A</v>
      </c>
      <c r="P532" s="70" t="e">
        <f t="shared" si="318"/>
        <v>#N/A</v>
      </c>
      <c r="Q532" s="70"/>
      <c r="R532" s="70" t="e">
        <f t="shared" si="319"/>
        <v>#N/A</v>
      </c>
      <c r="S532" s="70" t="e">
        <f t="shared" si="320"/>
        <v>#N/A</v>
      </c>
      <c r="T532" s="70"/>
      <c r="U532" s="70" t="e">
        <f t="shared" si="321"/>
        <v>#N/A</v>
      </c>
      <c r="V532" s="70" t="e">
        <f t="shared" si="322"/>
        <v>#N/A</v>
      </c>
      <c r="W532" s="70"/>
      <c r="X532" s="70" t="e">
        <f t="shared" si="323"/>
        <v>#N/A</v>
      </c>
      <c r="Y532" s="70" t="e">
        <f t="shared" si="324"/>
        <v>#N/A</v>
      </c>
      <c r="Z532" s="70"/>
      <c r="AA532" s="70" t="e">
        <f t="shared" si="325"/>
        <v>#N/A</v>
      </c>
      <c r="AB532" s="70" t="e">
        <f t="shared" si="326"/>
        <v>#N/A</v>
      </c>
      <c r="AC532" s="70"/>
    </row>
    <row r="533" spans="1:29" s="2" customFormat="1">
      <c r="A533" s="70"/>
      <c r="B533" s="70"/>
      <c r="C533" s="70" t="e">
        <f t="shared" si="327"/>
        <v>#N/A</v>
      </c>
      <c r="D533" s="70" t="e">
        <f t="shared" si="328"/>
        <v>#N/A</v>
      </c>
      <c r="E533" s="70"/>
      <c r="F533" s="70" t="e">
        <f t="shared" si="329"/>
        <v>#N/A</v>
      </c>
      <c r="G533" s="70" t="e">
        <f t="shared" si="330"/>
        <v>#N/A</v>
      </c>
      <c r="H533" s="70"/>
      <c r="I533" s="70" t="e">
        <f t="shared" si="313"/>
        <v>#N/A</v>
      </c>
      <c r="J533" s="70" t="e">
        <f t="shared" si="314"/>
        <v>#N/A</v>
      </c>
      <c r="K533" s="70"/>
      <c r="L533" s="70" t="e">
        <f t="shared" si="315"/>
        <v>#N/A</v>
      </c>
      <c r="M533" s="70" t="e">
        <f t="shared" si="316"/>
        <v>#N/A</v>
      </c>
      <c r="N533" s="70"/>
      <c r="O533" s="70" t="e">
        <f t="shared" si="317"/>
        <v>#N/A</v>
      </c>
      <c r="P533" s="70" t="e">
        <f t="shared" si="318"/>
        <v>#N/A</v>
      </c>
      <c r="Q533" s="70"/>
      <c r="R533" s="70" t="e">
        <f t="shared" si="319"/>
        <v>#N/A</v>
      </c>
      <c r="S533" s="70" t="e">
        <f t="shared" si="320"/>
        <v>#N/A</v>
      </c>
      <c r="T533" s="70"/>
      <c r="U533" s="70" t="e">
        <f t="shared" si="321"/>
        <v>#N/A</v>
      </c>
      <c r="V533" s="70" t="e">
        <f t="shared" si="322"/>
        <v>#N/A</v>
      </c>
      <c r="W533" s="70"/>
      <c r="X533" s="70" t="e">
        <f t="shared" si="323"/>
        <v>#N/A</v>
      </c>
      <c r="Y533" s="70" t="e">
        <f t="shared" si="324"/>
        <v>#N/A</v>
      </c>
      <c r="Z533" s="70"/>
      <c r="AA533" s="70" t="e">
        <f t="shared" si="325"/>
        <v>#N/A</v>
      </c>
      <c r="AB533" s="70" t="e">
        <f t="shared" si="326"/>
        <v>#N/A</v>
      </c>
      <c r="AC533" s="70"/>
    </row>
    <row r="534" spans="1:29" s="2" customFormat="1">
      <c r="A534" s="70"/>
      <c r="B534" s="70"/>
      <c r="C534" s="70" t="e">
        <f t="shared" si="327"/>
        <v>#N/A</v>
      </c>
      <c r="D534" s="70" t="e">
        <f t="shared" si="328"/>
        <v>#N/A</v>
      </c>
      <c r="E534" s="70"/>
      <c r="F534" s="70" t="e">
        <f t="shared" si="329"/>
        <v>#N/A</v>
      </c>
      <c r="G534" s="70" t="e">
        <f t="shared" si="330"/>
        <v>#N/A</v>
      </c>
      <c r="H534" s="70"/>
      <c r="I534" s="70" t="e">
        <f t="shared" si="313"/>
        <v>#N/A</v>
      </c>
      <c r="J534" s="70" t="e">
        <f t="shared" si="314"/>
        <v>#N/A</v>
      </c>
      <c r="K534" s="70"/>
      <c r="L534" s="70" t="e">
        <f t="shared" si="315"/>
        <v>#N/A</v>
      </c>
      <c r="M534" s="70" t="e">
        <f t="shared" si="316"/>
        <v>#N/A</v>
      </c>
      <c r="N534" s="70"/>
      <c r="O534" s="70" t="e">
        <f t="shared" si="317"/>
        <v>#N/A</v>
      </c>
      <c r="P534" s="70" t="e">
        <f t="shared" si="318"/>
        <v>#N/A</v>
      </c>
      <c r="Q534" s="70"/>
      <c r="R534" s="70" t="e">
        <f t="shared" si="319"/>
        <v>#N/A</v>
      </c>
      <c r="S534" s="70" t="e">
        <f t="shared" si="320"/>
        <v>#N/A</v>
      </c>
      <c r="T534" s="70"/>
      <c r="U534" s="70" t="e">
        <f t="shared" si="321"/>
        <v>#N/A</v>
      </c>
      <c r="V534" s="70" t="e">
        <f t="shared" si="322"/>
        <v>#N/A</v>
      </c>
      <c r="W534" s="70"/>
      <c r="X534" s="70" t="e">
        <f t="shared" si="323"/>
        <v>#N/A</v>
      </c>
      <c r="Y534" s="70" t="e">
        <f t="shared" si="324"/>
        <v>#N/A</v>
      </c>
      <c r="Z534" s="70"/>
      <c r="AA534" s="70" t="e">
        <f t="shared" si="325"/>
        <v>#N/A</v>
      </c>
      <c r="AB534" s="70" t="e">
        <f t="shared" si="326"/>
        <v>#N/A</v>
      </c>
      <c r="AC534" s="70"/>
    </row>
    <row r="535" spans="1:29" s="2" customFormat="1">
      <c r="A535" s="70"/>
      <c r="B535" s="70"/>
      <c r="C535" s="70" t="e">
        <f t="shared" si="327"/>
        <v>#N/A</v>
      </c>
      <c r="D535" s="70" t="e">
        <f t="shared" si="328"/>
        <v>#N/A</v>
      </c>
      <c r="E535" s="70"/>
      <c r="F535" s="70" t="e">
        <f t="shared" si="329"/>
        <v>#N/A</v>
      </c>
      <c r="G535" s="70" t="e">
        <f t="shared" si="330"/>
        <v>#N/A</v>
      </c>
      <c r="H535" s="70"/>
      <c r="I535" s="70" t="e">
        <f t="shared" si="313"/>
        <v>#N/A</v>
      </c>
      <c r="J535" s="70" t="e">
        <f t="shared" si="314"/>
        <v>#N/A</v>
      </c>
      <c r="K535" s="70"/>
      <c r="L535" s="70" t="e">
        <f t="shared" si="315"/>
        <v>#N/A</v>
      </c>
      <c r="M535" s="70" t="e">
        <f t="shared" si="316"/>
        <v>#N/A</v>
      </c>
      <c r="N535" s="70"/>
      <c r="O535" s="70" t="e">
        <f t="shared" si="317"/>
        <v>#N/A</v>
      </c>
      <c r="P535" s="70" t="e">
        <f t="shared" si="318"/>
        <v>#N/A</v>
      </c>
      <c r="Q535" s="70"/>
      <c r="R535" s="70" t="e">
        <f t="shared" si="319"/>
        <v>#N/A</v>
      </c>
      <c r="S535" s="70" t="e">
        <f t="shared" si="320"/>
        <v>#N/A</v>
      </c>
      <c r="T535" s="70"/>
      <c r="U535" s="70" t="e">
        <f t="shared" si="321"/>
        <v>#N/A</v>
      </c>
      <c r="V535" s="70" t="e">
        <f t="shared" si="322"/>
        <v>#N/A</v>
      </c>
      <c r="W535" s="70"/>
      <c r="X535" s="70" t="e">
        <f t="shared" si="323"/>
        <v>#N/A</v>
      </c>
      <c r="Y535" s="70" t="e">
        <f t="shared" si="324"/>
        <v>#N/A</v>
      </c>
      <c r="Z535" s="70"/>
      <c r="AA535" s="70" t="e">
        <f t="shared" si="325"/>
        <v>#N/A</v>
      </c>
      <c r="AB535" s="70" t="e">
        <f t="shared" si="326"/>
        <v>#N/A</v>
      </c>
      <c r="AC535" s="70"/>
    </row>
    <row r="536" spans="1:29" s="2" customFormat="1">
      <c r="A536" s="70"/>
      <c r="B536" s="70"/>
      <c r="C536" s="70" t="e">
        <f t="shared" si="327"/>
        <v>#N/A</v>
      </c>
      <c r="D536" s="70" t="e">
        <f t="shared" si="328"/>
        <v>#N/A</v>
      </c>
      <c r="E536" s="70"/>
      <c r="F536" s="70" t="e">
        <f t="shared" si="329"/>
        <v>#N/A</v>
      </c>
      <c r="G536" s="70" t="e">
        <f t="shared" si="330"/>
        <v>#N/A</v>
      </c>
      <c r="H536" s="70"/>
      <c r="I536" s="70" t="e">
        <f t="shared" si="313"/>
        <v>#N/A</v>
      </c>
      <c r="J536" s="70" t="e">
        <f t="shared" si="314"/>
        <v>#N/A</v>
      </c>
      <c r="K536" s="70"/>
      <c r="L536" s="70" t="e">
        <f t="shared" si="315"/>
        <v>#N/A</v>
      </c>
      <c r="M536" s="70" t="e">
        <f t="shared" si="316"/>
        <v>#N/A</v>
      </c>
      <c r="N536" s="70"/>
      <c r="O536" s="70" t="e">
        <f t="shared" si="317"/>
        <v>#N/A</v>
      </c>
      <c r="P536" s="70" t="e">
        <f t="shared" si="318"/>
        <v>#N/A</v>
      </c>
      <c r="Q536" s="70"/>
      <c r="R536" s="70" t="e">
        <f t="shared" si="319"/>
        <v>#N/A</v>
      </c>
      <c r="S536" s="70" t="e">
        <f t="shared" si="320"/>
        <v>#N/A</v>
      </c>
      <c r="T536" s="70"/>
      <c r="U536" s="70" t="e">
        <f t="shared" si="321"/>
        <v>#N/A</v>
      </c>
      <c r="V536" s="70" t="e">
        <f t="shared" si="322"/>
        <v>#N/A</v>
      </c>
      <c r="W536" s="70"/>
      <c r="X536" s="70" t="e">
        <f t="shared" si="323"/>
        <v>#N/A</v>
      </c>
      <c r="Y536" s="70" t="e">
        <f t="shared" si="324"/>
        <v>#N/A</v>
      </c>
      <c r="Z536" s="70"/>
      <c r="AA536" s="70" t="e">
        <f t="shared" si="325"/>
        <v>#N/A</v>
      </c>
      <c r="AB536" s="70" t="e">
        <f t="shared" si="326"/>
        <v>#N/A</v>
      </c>
      <c r="AC536" s="70"/>
    </row>
    <row r="537" spans="1:29" s="2" customFormat="1">
      <c r="A537" s="70"/>
      <c r="B537" s="70"/>
      <c r="C537" s="70" t="e">
        <f>IF(AND(C561&gt;0,$F9&gt;2,$F$7=TRUE),C561-1,-4)</f>
        <v>#N/A</v>
      </c>
      <c r="D537" s="70" t="e">
        <f>IF(AND(C561&gt;0,$F9&gt;2,$F$7=TRUE),E9+1,-4)</f>
        <v>#N/A</v>
      </c>
      <c r="E537" s="70"/>
      <c r="F537" s="70" t="e">
        <f>IF(AND(I561&gt;0,$I9&gt;2,$I$7=TRUE),I561-1,-4)</f>
        <v>#N/A</v>
      </c>
      <c r="G537" s="70" t="e">
        <f>IF(AND(I561&gt;0,$I9&gt;2,$I$7=TRUE),H9+1,-4)</f>
        <v>#N/A</v>
      </c>
      <c r="H537" s="70"/>
      <c r="I537" s="70" t="e">
        <f t="shared" ref="I537:I544" si="331">IF(AND(I561&gt;0,$L9&gt;2,$L$7=TRUE),I561-1,-4)</f>
        <v>#N/A</v>
      </c>
      <c r="J537" s="70" t="e">
        <f t="shared" ref="J537:J544" si="332">IF(AND(I561&gt;0,$L9&gt;2,$L$7=TRUE),K9+1,-4)</f>
        <v>#N/A</v>
      </c>
      <c r="K537" s="70"/>
      <c r="L537" s="70" t="e">
        <f t="shared" ref="L537:L544" si="333">IF(AND(L561&gt;0,$O9&gt;2,$O$7=TRUE),L561-1,-4)</f>
        <v>#N/A</v>
      </c>
      <c r="M537" s="70" t="e">
        <f t="shared" ref="M537:M544" si="334">IF(AND(L561&gt;0,$O9&gt;2,$O$7=TRUE),N9+1,-4)</f>
        <v>#N/A</v>
      </c>
      <c r="N537" s="70"/>
      <c r="O537" s="70" t="e">
        <f t="shared" ref="O537:O544" si="335">IF(AND(O561&gt;0,$R9&gt;2,$R$7=TRUE),O561-1,-4)</f>
        <v>#N/A</v>
      </c>
      <c r="P537" s="70" t="e">
        <f t="shared" ref="P537:P544" si="336">IF(AND(O561&gt;0,$R9&gt;2,$R$7=TRUE),Q9+1,-4)</f>
        <v>#N/A</v>
      </c>
      <c r="Q537" s="70"/>
      <c r="R537" s="70" t="e">
        <f t="shared" ref="R537:R544" si="337">IF(AND(R561&gt;0,$U9&gt;2,$U$7=TRUE),R561-1,-4)</f>
        <v>#N/A</v>
      </c>
      <c r="S537" s="70" t="e">
        <f t="shared" ref="S537:S544" si="338">IF(AND(R561&gt;0,$U9&gt;2,$U$7=TRUE),T9+1,-4)</f>
        <v>#N/A</v>
      </c>
      <c r="T537" s="70"/>
      <c r="U537" s="70" t="e">
        <f t="shared" ref="U537:U544" si="339">IF(AND(U561&gt;0,$X9&gt;2,$X$7=TRUE),U561-1,-4)</f>
        <v>#N/A</v>
      </c>
      <c r="V537" s="70" t="e">
        <f t="shared" ref="V537:V544" si="340">IF(AND(U561&gt;0,$X9&gt;2,$X$7=TRUE),W9+1,-4)</f>
        <v>#N/A</v>
      </c>
      <c r="W537" s="70"/>
      <c r="X537" s="70" t="e">
        <f t="shared" ref="X537:X544" si="341">IF(AND(X561&gt;0,$AA9&gt;2,$AA$7=TRUE),X561-1,-4)</f>
        <v>#N/A</v>
      </c>
      <c r="Y537" s="70" t="e">
        <f t="shared" ref="Y537:Y544" si="342">IF(AND(X561&gt;0,$AA9&gt;2,$AA$7=TRUE),Z9+1,-4)</f>
        <v>#N/A</v>
      </c>
      <c r="Z537" s="70"/>
      <c r="AA537" s="70" t="e">
        <f t="shared" ref="AA537:AA544" si="343">IF(AND(AA561&gt;0,$AD9&gt;2,$AD$7=TRUE),AA561-1,-4)</f>
        <v>#N/A</v>
      </c>
      <c r="AB537" s="70" t="e">
        <f t="shared" ref="AB537:AB544" si="344">IF(AND(AA561&gt;0,$AD9&gt;2,$AD$7=TRUE),AC9+1,-4)</f>
        <v>#N/A</v>
      </c>
      <c r="AC537" s="70"/>
    </row>
    <row r="538" spans="1:29" s="2" customFormat="1">
      <c r="A538" s="70"/>
      <c r="B538" s="70" t="s">
        <v>221</v>
      </c>
      <c r="C538" s="70" t="e">
        <f t="shared" ref="C538:C544" si="345">IF(AND(C562&gt;0,$F10&gt;2,$F$7=TRUE),C562-1,-4)</f>
        <v>#N/A</v>
      </c>
      <c r="D538" s="70" t="e">
        <f t="shared" ref="D538:D544" si="346">IF(AND(C562&gt;0,$F10&gt;2,$F$7=TRUE),E10+1,-4)</f>
        <v>#N/A</v>
      </c>
      <c r="E538" s="70"/>
      <c r="F538" s="70" t="e">
        <f t="shared" ref="F538:F544" si="347">IF(AND(F562&gt;0,$I10&gt;2,$I$7=TRUE),F562-1,-4)</f>
        <v>#N/A</v>
      </c>
      <c r="G538" s="70" t="e">
        <f t="shared" ref="G538:G544" si="348">IF(AND(F562&gt;0,$I10&gt;2,$I$7=TRUE),H10+1,-4)</f>
        <v>#N/A</v>
      </c>
      <c r="H538" s="70"/>
      <c r="I538" s="70" t="e">
        <f t="shared" si="331"/>
        <v>#N/A</v>
      </c>
      <c r="J538" s="70" t="e">
        <f t="shared" si="332"/>
        <v>#N/A</v>
      </c>
      <c r="K538" s="70"/>
      <c r="L538" s="70" t="e">
        <f t="shared" si="333"/>
        <v>#N/A</v>
      </c>
      <c r="M538" s="70" t="e">
        <f t="shared" si="334"/>
        <v>#N/A</v>
      </c>
      <c r="N538" s="70"/>
      <c r="O538" s="70" t="e">
        <f t="shared" si="335"/>
        <v>#N/A</v>
      </c>
      <c r="P538" s="70" t="e">
        <f t="shared" si="336"/>
        <v>#N/A</v>
      </c>
      <c r="Q538" s="70"/>
      <c r="R538" s="70" t="e">
        <f t="shared" si="337"/>
        <v>#N/A</v>
      </c>
      <c r="S538" s="70" t="e">
        <f t="shared" si="338"/>
        <v>#N/A</v>
      </c>
      <c r="T538" s="70"/>
      <c r="U538" s="70" t="e">
        <f t="shared" si="339"/>
        <v>#N/A</v>
      </c>
      <c r="V538" s="70" t="e">
        <f t="shared" si="340"/>
        <v>#N/A</v>
      </c>
      <c r="W538" s="70"/>
      <c r="X538" s="70" t="e">
        <f t="shared" si="341"/>
        <v>#N/A</v>
      </c>
      <c r="Y538" s="70" t="e">
        <f t="shared" si="342"/>
        <v>#N/A</v>
      </c>
      <c r="Z538" s="70"/>
      <c r="AA538" s="70" t="e">
        <f t="shared" si="343"/>
        <v>#N/A</v>
      </c>
      <c r="AB538" s="70" t="e">
        <f t="shared" si="344"/>
        <v>#N/A</v>
      </c>
      <c r="AC538" s="70"/>
    </row>
    <row r="539" spans="1:29" s="2" customFormat="1">
      <c r="A539" s="70"/>
      <c r="B539" s="70"/>
      <c r="C539" s="70" t="e">
        <f t="shared" si="345"/>
        <v>#N/A</v>
      </c>
      <c r="D539" s="70" t="e">
        <f t="shared" si="346"/>
        <v>#N/A</v>
      </c>
      <c r="E539" s="70"/>
      <c r="F539" s="70" t="e">
        <f t="shared" si="347"/>
        <v>#N/A</v>
      </c>
      <c r="G539" s="70" t="e">
        <f t="shared" si="348"/>
        <v>#N/A</v>
      </c>
      <c r="H539" s="70"/>
      <c r="I539" s="70" t="e">
        <f t="shared" si="331"/>
        <v>#N/A</v>
      </c>
      <c r="J539" s="70" t="e">
        <f t="shared" si="332"/>
        <v>#N/A</v>
      </c>
      <c r="K539" s="70"/>
      <c r="L539" s="70" t="e">
        <f t="shared" si="333"/>
        <v>#N/A</v>
      </c>
      <c r="M539" s="70" t="e">
        <f t="shared" si="334"/>
        <v>#N/A</v>
      </c>
      <c r="N539" s="70"/>
      <c r="O539" s="70" t="e">
        <f t="shared" si="335"/>
        <v>#N/A</v>
      </c>
      <c r="P539" s="70" t="e">
        <f t="shared" si="336"/>
        <v>#N/A</v>
      </c>
      <c r="Q539" s="70"/>
      <c r="R539" s="70" t="e">
        <f t="shared" si="337"/>
        <v>#N/A</v>
      </c>
      <c r="S539" s="70" t="e">
        <f t="shared" si="338"/>
        <v>#N/A</v>
      </c>
      <c r="T539" s="70"/>
      <c r="U539" s="70" t="e">
        <f t="shared" si="339"/>
        <v>#N/A</v>
      </c>
      <c r="V539" s="70" t="e">
        <f t="shared" si="340"/>
        <v>#N/A</v>
      </c>
      <c r="W539" s="70"/>
      <c r="X539" s="70" t="e">
        <f t="shared" si="341"/>
        <v>#N/A</v>
      </c>
      <c r="Y539" s="70" t="e">
        <f t="shared" si="342"/>
        <v>#N/A</v>
      </c>
      <c r="Z539" s="70"/>
      <c r="AA539" s="70" t="e">
        <f t="shared" si="343"/>
        <v>#N/A</v>
      </c>
      <c r="AB539" s="70" t="e">
        <f t="shared" si="344"/>
        <v>#N/A</v>
      </c>
      <c r="AC539" s="70"/>
    </row>
    <row r="540" spans="1:29" s="2" customFormat="1">
      <c r="A540" s="70"/>
      <c r="B540" s="70"/>
      <c r="C540" s="70" t="e">
        <f t="shared" si="345"/>
        <v>#N/A</v>
      </c>
      <c r="D540" s="70" t="e">
        <f t="shared" si="346"/>
        <v>#N/A</v>
      </c>
      <c r="E540" s="70"/>
      <c r="F540" s="70" t="e">
        <f t="shared" si="347"/>
        <v>#N/A</v>
      </c>
      <c r="G540" s="70" t="e">
        <f t="shared" si="348"/>
        <v>#N/A</v>
      </c>
      <c r="H540" s="70"/>
      <c r="I540" s="70" t="e">
        <f t="shared" si="331"/>
        <v>#N/A</v>
      </c>
      <c r="J540" s="70" t="e">
        <f t="shared" si="332"/>
        <v>#N/A</v>
      </c>
      <c r="K540" s="70"/>
      <c r="L540" s="70" t="e">
        <f t="shared" si="333"/>
        <v>#N/A</v>
      </c>
      <c r="M540" s="70" t="e">
        <f t="shared" si="334"/>
        <v>#N/A</v>
      </c>
      <c r="N540" s="70"/>
      <c r="O540" s="70" t="e">
        <f t="shared" si="335"/>
        <v>#N/A</v>
      </c>
      <c r="P540" s="70" t="e">
        <f t="shared" si="336"/>
        <v>#N/A</v>
      </c>
      <c r="Q540" s="70"/>
      <c r="R540" s="70" t="e">
        <f t="shared" si="337"/>
        <v>#N/A</v>
      </c>
      <c r="S540" s="70" t="e">
        <f t="shared" si="338"/>
        <v>#N/A</v>
      </c>
      <c r="T540" s="70"/>
      <c r="U540" s="70" t="e">
        <f t="shared" si="339"/>
        <v>#N/A</v>
      </c>
      <c r="V540" s="70" t="e">
        <f t="shared" si="340"/>
        <v>#N/A</v>
      </c>
      <c r="W540" s="70"/>
      <c r="X540" s="70" t="e">
        <f t="shared" si="341"/>
        <v>#N/A</v>
      </c>
      <c r="Y540" s="70" t="e">
        <f t="shared" si="342"/>
        <v>#N/A</v>
      </c>
      <c r="Z540" s="70"/>
      <c r="AA540" s="70" t="e">
        <f t="shared" si="343"/>
        <v>#N/A</v>
      </c>
      <c r="AB540" s="70" t="e">
        <f t="shared" si="344"/>
        <v>#N/A</v>
      </c>
      <c r="AC540" s="70"/>
    </row>
    <row r="541" spans="1:29" s="2" customFormat="1">
      <c r="A541" s="70"/>
      <c r="B541" s="70"/>
      <c r="C541" s="70" t="e">
        <f t="shared" si="345"/>
        <v>#N/A</v>
      </c>
      <c r="D541" s="70" t="e">
        <f t="shared" si="346"/>
        <v>#N/A</v>
      </c>
      <c r="E541" s="70"/>
      <c r="F541" s="70" t="e">
        <f t="shared" si="347"/>
        <v>#N/A</v>
      </c>
      <c r="G541" s="70" t="e">
        <f t="shared" si="348"/>
        <v>#N/A</v>
      </c>
      <c r="H541" s="70"/>
      <c r="I541" s="70" t="e">
        <f t="shared" si="331"/>
        <v>#N/A</v>
      </c>
      <c r="J541" s="70" t="e">
        <f t="shared" si="332"/>
        <v>#N/A</v>
      </c>
      <c r="K541" s="70"/>
      <c r="L541" s="70" t="e">
        <f t="shared" si="333"/>
        <v>#N/A</v>
      </c>
      <c r="M541" s="70" t="e">
        <f t="shared" si="334"/>
        <v>#N/A</v>
      </c>
      <c r="N541" s="70"/>
      <c r="O541" s="70" t="e">
        <f t="shared" si="335"/>
        <v>#N/A</v>
      </c>
      <c r="P541" s="70" t="e">
        <f t="shared" si="336"/>
        <v>#N/A</v>
      </c>
      <c r="Q541" s="70"/>
      <c r="R541" s="70" t="e">
        <f t="shared" si="337"/>
        <v>#N/A</v>
      </c>
      <c r="S541" s="70" t="e">
        <f t="shared" si="338"/>
        <v>#N/A</v>
      </c>
      <c r="T541" s="70"/>
      <c r="U541" s="70" t="e">
        <f t="shared" si="339"/>
        <v>#N/A</v>
      </c>
      <c r="V541" s="70" t="e">
        <f t="shared" si="340"/>
        <v>#N/A</v>
      </c>
      <c r="W541" s="70"/>
      <c r="X541" s="70" t="e">
        <f t="shared" si="341"/>
        <v>#N/A</v>
      </c>
      <c r="Y541" s="70" t="e">
        <f t="shared" si="342"/>
        <v>#N/A</v>
      </c>
      <c r="Z541" s="70"/>
      <c r="AA541" s="70" t="e">
        <f t="shared" si="343"/>
        <v>#N/A</v>
      </c>
      <c r="AB541" s="70" t="e">
        <f t="shared" si="344"/>
        <v>#N/A</v>
      </c>
      <c r="AC541" s="70"/>
    </row>
    <row r="542" spans="1:29" s="2" customFormat="1">
      <c r="A542" s="70"/>
      <c r="B542" s="70"/>
      <c r="C542" s="70" t="e">
        <f t="shared" si="345"/>
        <v>#N/A</v>
      </c>
      <c r="D542" s="70" t="e">
        <f t="shared" si="346"/>
        <v>#N/A</v>
      </c>
      <c r="E542" s="70"/>
      <c r="F542" s="70" t="e">
        <f t="shared" si="347"/>
        <v>#N/A</v>
      </c>
      <c r="G542" s="70" t="e">
        <f t="shared" si="348"/>
        <v>#N/A</v>
      </c>
      <c r="H542" s="70"/>
      <c r="I542" s="70" t="e">
        <f t="shared" si="331"/>
        <v>#N/A</v>
      </c>
      <c r="J542" s="70" t="e">
        <f t="shared" si="332"/>
        <v>#N/A</v>
      </c>
      <c r="K542" s="70"/>
      <c r="L542" s="70" t="e">
        <f t="shared" si="333"/>
        <v>#N/A</v>
      </c>
      <c r="M542" s="70" t="e">
        <f t="shared" si="334"/>
        <v>#N/A</v>
      </c>
      <c r="N542" s="70"/>
      <c r="O542" s="70" t="e">
        <f t="shared" si="335"/>
        <v>#N/A</v>
      </c>
      <c r="P542" s="70" t="e">
        <f t="shared" si="336"/>
        <v>#N/A</v>
      </c>
      <c r="Q542" s="70"/>
      <c r="R542" s="70" t="e">
        <f t="shared" si="337"/>
        <v>#N/A</v>
      </c>
      <c r="S542" s="70" t="e">
        <f t="shared" si="338"/>
        <v>#N/A</v>
      </c>
      <c r="T542" s="70"/>
      <c r="U542" s="70" t="e">
        <f t="shared" si="339"/>
        <v>#N/A</v>
      </c>
      <c r="V542" s="70" t="e">
        <f t="shared" si="340"/>
        <v>#N/A</v>
      </c>
      <c r="W542" s="70"/>
      <c r="X542" s="70" t="e">
        <f t="shared" si="341"/>
        <v>#N/A</v>
      </c>
      <c r="Y542" s="70" t="e">
        <f t="shared" si="342"/>
        <v>#N/A</v>
      </c>
      <c r="Z542" s="70"/>
      <c r="AA542" s="70" t="e">
        <f t="shared" si="343"/>
        <v>#N/A</v>
      </c>
      <c r="AB542" s="70" t="e">
        <f t="shared" si="344"/>
        <v>#N/A</v>
      </c>
      <c r="AC542" s="70"/>
    </row>
    <row r="543" spans="1:29" s="2" customFormat="1">
      <c r="A543" s="70"/>
      <c r="B543" s="70"/>
      <c r="C543" s="70" t="e">
        <f t="shared" si="345"/>
        <v>#N/A</v>
      </c>
      <c r="D543" s="70" t="e">
        <f t="shared" si="346"/>
        <v>#N/A</v>
      </c>
      <c r="E543" s="70"/>
      <c r="F543" s="70" t="e">
        <f t="shared" si="347"/>
        <v>#N/A</v>
      </c>
      <c r="G543" s="70" t="e">
        <f t="shared" si="348"/>
        <v>#N/A</v>
      </c>
      <c r="H543" s="70"/>
      <c r="I543" s="70" t="e">
        <f t="shared" si="331"/>
        <v>#N/A</v>
      </c>
      <c r="J543" s="70" t="e">
        <f t="shared" si="332"/>
        <v>#N/A</v>
      </c>
      <c r="K543" s="70"/>
      <c r="L543" s="70" t="e">
        <f t="shared" si="333"/>
        <v>#N/A</v>
      </c>
      <c r="M543" s="70" t="e">
        <f t="shared" si="334"/>
        <v>#N/A</v>
      </c>
      <c r="N543" s="70"/>
      <c r="O543" s="70" t="e">
        <f t="shared" si="335"/>
        <v>#N/A</v>
      </c>
      <c r="P543" s="70" t="e">
        <f t="shared" si="336"/>
        <v>#N/A</v>
      </c>
      <c r="Q543" s="70"/>
      <c r="R543" s="70" t="e">
        <f t="shared" si="337"/>
        <v>#N/A</v>
      </c>
      <c r="S543" s="70" t="e">
        <f t="shared" si="338"/>
        <v>#N/A</v>
      </c>
      <c r="T543" s="70"/>
      <c r="U543" s="70" t="e">
        <f t="shared" si="339"/>
        <v>#N/A</v>
      </c>
      <c r="V543" s="70" t="e">
        <f t="shared" si="340"/>
        <v>#N/A</v>
      </c>
      <c r="W543" s="70"/>
      <c r="X543" s="70" t="e">
        <f t="shared" si="341"/>
        <v>#N/A</v>
      </c>
      <c r="Y543" s="70" t="e">
        <f t="shared" si="342"/>
        <v>#N/A</v>
      </c>
      <c r="Z543" s="70"/>
      <c r="AA543" s="70" t="e">
        <f t="shared" si="343"/>
        <v>#N/A</v>
      </c>
      <c r="AB543" s="70" t="e">
        <f t="shared" si="344"/>
        <v>#N/A</v>
      </c>
      <c r="AC543" s="70"/>
    </row>
    <row r="544" spans="1:29" s="2" customFormat="1">
      <c r="A544" s="70"/>
      <c r="B544" s="70"/>
      <c r="C544" s="70" t="e">
        <f t="shared" si="345"/>
        <v>#N/A</v>
      </c>
      <c r="D544" s="70" t="e">
        <f t="shared" si="346"/>
        <v>#N/A</v>
      </c>
      <c r="E544" s="70"/>
      <c r="F544" s="70" t="e">
        <f t="shared" si="347"/>
        <v>#N/A</v>
      </c>
      <c r="G544" s="70" t="e">
        <f t="shared" si="348"/>
        <v>#N/A</v>
      </c>
      <c r="H544" s="70"/>
      <c r="I544" s="70" t="e">
        <f t="shared" si="331"/>
        <v>#N/A</v>
      </c>
      <c r="J544" s="70" t="e">
        <f t="shared" si="332"/>
        <v>#N/A</v>
      </c>
      <c r="K544" s="70"/>
      <c r="L544" s="70" t="e">
        <f t="shared" si="333"/>
        <v>#N/A</v>
      </c>
      <c r="M544" s="70" t="e">
        <f t="shared" si="334"/>
        <v>#N/A</v>
      </c>
      <c r="N544" s="70"/>
      <c r="O544" s="70" t="e">
        <f t="shared" si="335"/>
        <v>#N/A</v>
      </c>
      <c r="P544" s="70" t="e">
        <f t="shared" si="336"/>
        <v>#N/A</v>
      </c>
      <c r="Q544" s="70"/>
      <c r="R544" s="70" t="e">
        <f t="shared" si="337"/>
        <v>#N/A</v>
      </c>
      <c r="S544" s="70" t="e">
        <f t="shared" si="338"/>
        <v>#N/A</v>
      </c>
      <c r="T544" s="70"/>
      <c r="U544" s="70" t="e">
        <f t="shared" si="339"/>
        <v>#N/A</v>
      </c>
      <c r="V544" s="70" t="e">
        <f t="shared" si="340"/>
        <v>#N/A</v>
      </c>
      <c r="W544" s="70"/>
      <c r="X544" s="70" t="e">
        <f t="shared" si="341"/>
        <v>#N/A</v>
      </c>
      <c r="Y544" s="70" t="e">
        <f t="shared" si="342"/>
        <v>#N/A</v>
      </c>
      <c r="Z544" s="70"/>
      <c r="AA544" s="70" t="e">
        <f t="shared" si="343"/>
        <v>#N/A</v>
      </c>
      <c r="AB544" s="70" t="e">
        <f t="shared" si="344"/>
        <v>#N/A</v>
      </c>
      <c r="AC544" s="70"/>
    </row>
    <row r="545" spans="1:29" s="2" customFormat="1">
      <c r="A545" s="70"/>
      <c r="B545" s="70"/>
      <c r="C545" s="70" t="e">
        <f>IF(AND(C561&gt;0,$F9&gt;3,$F$7=TRUE),C561+1,-4)</f>
        <v>#N/A</v>
      </c>
      <c r="D545" s="70" t="e">
        <f>IF(AND(C561&gt;0,$F9&gt;3,$F$7=TRUE),E9+1,-4)</f>
        <v>#N/A</v>
      </c>
      <c r="E545" s="70"/>
      <c r="F545" s="70" t="e">
        <f>IF(AND(I561&gt;0,$I9&gt;3,$I$7=TRUE),I561+1,-4)</f>
        <v>#N/A</v>
      </c>
      <c r="G545" s="70" t="e">
        <f>IF(AND(I561&gt;0,$I9&gt;3,$I$7=TRUE),H9+1,-4)</f>
        <v>#N/A</v>
      </c>
      <c r="H545" s="70"/>
      <c r="I545" s="70" t="e">
        <f t="shared" ref="I545:I552" si="349">IF(AND(I561&gt;0,$L9&gt;3,$L$7=TRUE),I561+1,-4)</f>
        <v>#N/A</v>
      </c>
      <c r="J545" s="70" t="e">
        <f t="shared" ref="J545:J552" si="350">IF(AND(I561&gt;0,$L9&gt;3,$L$7=TRUE),K9+1,-4)</f>
        <v>#N/A</v>
      </c>
      <c r="K545" s="70"/>
      <c r="L545" s="70" t="e">
        <f t="shared" ref="L545:L552" si="351">IF(AND(L561&gt;0,$O9&gt;3,$O$7=TRUE),L561+1,-4)</f>
        <v>#N/A</v>
      </c>
      <c r="M545" s="70" t="e">
        <f t="shared" ref="M545:M552" si="352">IF(AND(L561&gt;0,$O9&gt;3,$O$7=TRUE),N9+1,-4)</f>
        <v>#N/A</v>
      </c>
      <c r="N545" s="70"/>
      <c r="O545" s="70" t="e">
        <f t="shared" ref="O545:O552" si="353">IF(AND(O561&gt;0,$R9&gt;3,$R$7=TRUE),O561+1,-4)</f>
        <v>#N/A</v>
      </c>
      <c r="P545" s="70" t="e">
        <f t="shared" ref="P545:P552" si="354">IF(AND(O561&gt;0,$R9&gt;3,$R$7=TRUE),Q9+1,-4)</f>
        <v>#N/A</v>
      </c>
      <c r="Q545" s="70"/>
      <c r="R545" s="70" t="e">
        <f t="shared" ref="R545:R552" si="355">IF(AND(R561&gt;0,$U9&gt;3,$U$7=TRUE),R561+1,-4)</f>
        <v>#N/A</v>
      </c>
      <c r="S545" s="70" t="e">
        <f t="shared" ref="S545:S552" si="356">IF(AND(R561&gt;0,$U9&gt;3,$U$7=TRUE),T9+1,-4)</f>
        <v>#N/A</v>
      </c>
      <c r="T545" s="70"/>
      <c r="U545" s="70" t="e">
        <f t="shared" ref="U545:U552" si="357">IF(AND(U561&gt;0,$X9&gt;3,$X$7=TRUE),U561+1,-4)</f>
        <v>#N/A</v>
      </c>
      <c r="V545" s="70" t="e">
        <f t="shared" ref="V545:V552" si="358">IF(AND(U561&gt;0,$X9&gt;3,$X$7=TRUE),W9+1,-4)</f>
        <v>#N/A</v>
      </c>
      <c r="W545" s="70"/>
      <c r="X545" s="70" t="e">
        <f t="shared" ref="X545:X552" si="359">IF(AND(X561&gt;0,$AA9&gt;3,$AA$7=TRUE),X561+1,-4)</f>
        <v>#N/A</v>
      </c>
      <c r="Y545" s="70" t="e">
        <f t="shared" ref="Y545:Y552" si="360">IF(AND(X561&gt;0,$AA9&gt;3,$AA$7=TRUE),Z9+1,-4)</f>
        <v>#N/A</v>
      </c>
      <c r="Z545" s="70"/>
      <c r="AA545" s="70" t="e">
        <f t="shared" ref="AA545:AA552" si="361">IF(AND(AA561&gt;0,$AD9&gt;3,$AD$7=TRUE),AA561+1,-4)</f>
        <v>#N/A</v>
      </c>
      <c r="AB545" s="70" t="e">
        <f t="shared" ref="AB545:AB552" si="362">IF(AND(AA561&gt;0,$AD9&gt;3,$AD$7=TRUE),AC9+1,-4)</f>
        <v>#N/A</v>
      </c>
      <c r="AC545" s="70"/>
    </row>
    <row r="546" spans="1:29" s="2" customFormat="1">
      <c r="A546" s="70"/>
      <c r="B546" s="70" t="s">
        <v>222</v>
      </c>
      <c r="C546" s="70" t="e">
        <f t="shared" ref="C546:C552" si="363">IF(AND(C562&gt;0,$F10&gt;3,$F$7=TRUE),C562+1,-4)</f>
        <v>#N/A</v>
      </c>
      <c r="D546" s="70" t="e">
        <f t="shared" ref="D546:D552" si="364">IF(AND(C562&gt;0,$F10&gt;3,$F$7=TRUE),E10+1,-4)</f>
        <v>#N/A</v>
      </c>
      <c r="E546" s="70"/>
      <c r="F546" s="70" t="e">
        <f t="shared" ref="F546:F552" si="365">IF(AND(F562&gt;0,$I10&gt;3,$I$7=TRUE),F562+1,-4)</f>
        <v>#N/A</v>
      </c>
      <c r="G546" s="70" t="e">
        <f t="shared" ref="G546:G552" si="366">IF(AND(F562&gt;0,$I10&gt;3,$I$7=TRUE),H10+1,-4)</f>
        <v>#N/A</v>
      </c>
      <c r="H546" s="70"/>
      <c r="I546" s="70" t="e">
        <f t="shared" si="349"/>
        <v>#N/A</v>
      </c>
      <c r="J546" s="70" t="e">
        <f t="shared" si="350"/>
        <v>#N/A</v>
      </c>
      <c r="K546" s="70"/>
      <c r="L546" s="70" t="e">
        <f t="shared" si="351"/>
        <v>#N/A</v>
      </c>
      <c r="M546" s="70" t="e">
        <f t="shared" si="352"/>
        <v>#N/A</v>
      </c>
      <c r="N546" s="70"/>
      <c r="O546" s="70" t="e">
        <f t="shared" si="353"/>
        <v>#N/A</v>
      </c>
      <c r="P546" s="70" t="e">
        <f t="shared" si="354"/>
        <v>#N/A</v>
      </c>
      <c r="Q546" s="70"/>
      <c r="R546" s="70" t="e">
        <f t="shared" si="355"/>
        <v>#N/A</v>
      </c>
      <c r="S546" s="70" t="e">
        <f t="shared" si="356"/>
        <v>#N/A</v>
      </c>
      <c r="T546" s="70"/>
      <c r="U546" s="70" t="e">
        <f t="shared" si="357"/>
        <v>#N/A</v>
      </c>
      <c r="V546" s="70" t="e">
        <f t="shared" si="358"/>
        <v>#N/A</v>
      </c>
      <c r="W546" s="70"/>
      <c r="X546" s="70" t="e">
        <f t="shared" si="359"/>
        <v>#N/A</v>
      </c>
      <c r="Y546" s="70" t="e">
        <f t="shared" si="360"/>
        <v>#N/A</v>
      </c>
      <c r="Z546" s="70"/>
      <c r="AA546" s="70" t="e">
        <f t="shared" si="361"/>
        <v>#N/A</v>
      </c>
      <c r="AB546" s="70" t="e">
        <f t="shared" si="362"/>
        <v>#N/A</v>
      </c>
      <c r="AC546" s="70"/>
    </row>
    <row r="547" spans="1:29" s="2" customFormat="1">
      <c r="A547" s="70"/>
      <c r="B547" s="70"/>
      <c r="C547" s="70" t="e">
        <f t="shared" si="363"/>
        <v>#N/A</v>
      </c>
      <c r="D547" s="70" t="e">
        <f t="shared" si="364"/>
        <v>#N/A</v>
      </c>
      <c r="E547" s="70"/>
      <c r="F547" s="70" t="e">
        <f t="shared" si="365"/>
        <v>#N/A</v>
      </c>
      <c r="G547" s="70" t="e">
        <f t="shared" si="366"/>
        <v>#N/A</v>
      </c>
      <c r="H547" s="70"/>
      <c r="I547" s="70" t="e">
        <f t="shared" si="349"/>
        <v>#N/A</v>
      </c>
      <c r="J547" s="70" t="e">
        <f t="shared" si="350"/>
        <v>#N/A</v>
      </c>
      <c r="K547" s="70"/>
      <c r="L547" s="70" t="e">
        <f t="shared" si="351"/>
        <v>#N/A</v>
      </c>
      <c r="M547" s="70" t="e">
        <f t="shared" si="352"/>
        <v>#N/A</v>
      </c>
      <c r="N547" s="70"/>
      <c r="O547" s="70" t="e">
        <f t="shared" si="353"/>
        <v>#N/A</v>
      </c>
      <c r="P547" s="70" t="e">
        <f t="shared" si="354"/>
        <v>#N/A</v>
      </c>
      <c r="Q547" s="70"/>
      <c r="R547" s="70" t="e">
        <f t="shared" si="355"/>
        <v>#N/A</v>
      </c>
      <c r="S547" s="70" t="e">
        <f t="shared" si="356"/>
        <v>#N/A</v>
      </c>
      <c r="T547" s="70"/>
      <c r="U547" s="70" t="e">
        <f t="shared" si="357"/>
        <v>#N/A</v>
      </c>
      <c r="V547" s="70" t="e">
        <f t="shared" si="358"/>
        <v>#N/A</v>
      </c>
      <c r="W547" s="70"/>
      <c r="X547" s="70" t="e">
        <f t="shared" si="359"/>
        <v>#N/A</v>
      </c>
      <c r="Y547" s="70" t="e">
        <f t="shared" si="360"/>
        <v>#N/A</v>
      </c>
      <c r="Z547" s="70"/>
      <c r="AA547" s="70" t="e">
        <f t="shared" si="361"/>
        <v>#N/A</v>
      </c>
      <c r="AB547" s="70" t="e">
        <f t="shared" si="362"/>
        <v>#N/A</v>
      </c>
      <c r="AC547" s="70"/>
    </row>
    <row r="548" spans="1:29" s="2" customFormat="1">
      <c r="A548" s="70"/>
      <c r="B548" s="70"/>
      <c r="C548" s="70" t="e">
        <f t="shared" si="363"/>
        <v>#N/A</v>
      </c>
      <c r="D548" s="70" t="e">
        <f t="shared" si="364"/>
        <v>#N/A</v>
      </c>
      <c r="E548" s="70"/>
      <c r="F548" s="70" t="e">
        <f t="shared" si="365"/>
        <v>#N/A</v>
      </c>
      <c r="G548" s="70" t="e">
        <f t="shared" si="366"/>
        <v>#N/A</v>
      </c>
      <c r="H548" s="70"/>
      <c r="I548" s="70" t="e">
        <f t="shared" si="349"/>
        <v>#N/A</v>
      </c>
      <c r="J548" s="70" t="e">
        <f t="shared" si="350"/>
        <v>#N/A</v>
      </c>
      <c r="K548" s="70"/>
      <c r="L548" s="70" t="e">
        <f t="shared" si="351"/>
        <v>#N/A</v>
      </c>
      <c r="M548" s="70" t="e">
        <f t="shared" si="352"/>
        <v>#N/A</v>
      </c>
      <c r="N548" s="70"/>
      <c r="O548" s="70" t="e">
        <f t="shared" si="353"/>
        <v>#N/A</v>
      </c>
      <c r="P548" s="70" t="e">
        <f t="shared" si="354"/>
        <v>#N/A</v>
      </c>
      <c r="Q548" s="70"/>
      <c r="R548" s="70" t="e">
        <f t="shared" si="355"/>
        <v>#N/A</v>
      </c>
      <c r="S548" s="70" t="e">
        <f t="shared" si="356"/>
        <v>#N/A</v>
      </c>
      <c r="T548" s="70"/>
      <c r="U548" s="70" t="e">
        <f t="shared" si="357"/>
        <v>#N/A</v>
      </c>
      <c r="V548" s="70" t="e">
        <f t="shared" si="358"/>
        <v>#N/A</v>
      </c>
      <c r="W548" s="70"/>
      <c r="X548" s="70" t="e">
        <f t="shared" si="359"/>
        <v>#N/A</v>
      </c>
      <c r="Y548" s="70" t="e">
        <f t="shared" si="360"/>
        <v>#N/A</v>
      </c>
      <c r="Z548" s="70"/>
      <c r="AA548" s="70" t="e">
        <f t="shared" si="361"/>
        <v>#N/A</v>
      </c>
      <c r="AB548" s="70" t="e">
        <f t="shared" si="362"/>
        <v>#N/A</v>
      </c>
      <c r="AC548" s="70"/>
    </row>
    <row r="549" spans="1:29" s="2" customFormat="1">
      <c r="A549" s="70"/>
      <c r="B549" s="70"/>
      <c r="C549" s="70" t="e">
        <f t="shared" si="363"/>
        <v>#N/A</v>
      </c>
      <c r="D549" s="70" t="e">
        <f t="shared" si="364"/>
        <v>#N/A</v>
      </c>
      <c r="E549" s="70"/>
      <c r="F549" s="70" t="e">
        <f t="shared" si="365"/>
        <v>#N/A</v>
      </c>
      <c r="G549" s="70" t="e">
        <f t="shared" si="366"/>
        <v>#N/A</v>
      </c>
      <c r="H549" s="70"/>
      <c r="I549" s="70" t="e">
        <f t="shared" si="349"/>
        <v>#N/A</v>
      </c>
      <c r="J549" s="70" t="e">
        <f t="shared" si="350"/>
        <v>#N/A</v>
      </c>
      <c r="K549" s="70"/>
      <c r="L549" s="70" t="e">
        <f t="shared" si="351"/>
        <v>#N/A</v>
      </c>
      <c r="M549" s="70" t="e">
        <f t="shared" si="352"/>
        <v>#N/A</v>
      </c>
      <c r="N549" s="70"/>
      <c r="O549" s="70" t="e">
        <f t="shared" si="353"/>
        <v>#N/A</v>
      </c>
      <c r="P549" s="70" t="e">
        <f t="shared" si="354"/>
        <v>#N/A</v>
      </c>
      <c r="Q549" s="70"/>
      <c r="R549" s="70" t="e">
        <f t="shared" si="355"/>
        <v>#N/A</v>
      </c>
      <c r="S549" s="70" t="e">
        <f t="shared" si="356"/>
        <v>#N/A</v>
      </c>
      <c r="T549" s="70"/>
      <c r="U549" s="70" t="e">
        <f t="shared" si="357"/>
        <v>#N/A</v>
      </c>
      <c r="V549" s="70" t="e">
        <f t="shared" si="358"/>
        <v>#N/A</v>
      </c>
      <c r="W549" s="70"/>
      <c r="X549" s="70" t="e">
        <f t="shared" si="359"/>
        <v>#N/A</v>
      </c>
      <c r="Y549" s="70" t="e">
        <f t="shared" si="360"/>
        <v>#N/A</v>
      </c>
      <c r="Z549" s="70"/>
      <c r="AA549" s="70" t="e">
        <f t="shared" si="361"/>
        <v>#N/A</v>
      </c>
      <c r="AB549" s="70" t="e">
        <f t="shared" si="362"/>
        <v>#N/A</v>
      </c>
      <c r="AC549" s="70"/>
    </row>
    <row r="550" spans="1:29" s="2" customFormat="1">
      <c r="A550" s="70"/>
      <c r="B550" s="70"/>
      <c r="C550" s="70" t="e">
        <f t="shared" si="363"/>
        <v>#N/A</v>
      </c>
      <c r="D550" s="70" t="e">
        <f t="shared" si="364"/>
        <v>#N/A</v>
      </c>
      <c r="E550" s="70"/>
      <c r="F550" s="70" t="e">
        <f t="shared" si="365"/>
        <v>#N/A</v>
      </c>
      <c r="G550" s="70" t="e">
        <f t="shared" si="366"/>
        <v>#N/A</v>
      </c>
      <c r="H550" s="70"/>
      <c r="I550" s="70" t="e">
        <f t="shared" si="349"/>
        <v>#N/A</v>
      </c>
      <c r="J550" s="70" t="e">
        <f t="shared" si="350"/>
        <v>#N/A</v>
      </c>
      <c r="K550" s="70"/>
      <c r="L550" s="70" t="e">
        <f t="shared" si="351"/>
        <v>#N/A</v>
      </c>
      <c r="M550" s="70" t="e">
        <f t="shared" si="352"/>
        <v>#N/A</v>
      </c>
      <c r="N550" s="70"/>
      <c r="O550" s="70" t="e">
        <f t="shared" si="353"/>
        <v>#N/A</v>
      </c>
      <c r="P550" s="70" t="e">
        <f t="shared" si="354"/>
        <v>#N/A</v>
      </c>
      <c r="Q550" s="70"/>
      <c r="R550" s="70" t="e">
        <f t="shared" si="355"/>
        <v>#N/A</v>
      </c>
      <c r="S550" s="70" t="e">
        <f t="shared" si="356"/>
        <v>#N/A</v>
      </c>
      <c r="T550" s="70"/>
      <c r="U550" s="70" t="e">
        <f t="shared" si="357"/>
        <v>#N/A</v>
      </c>
      <c r="V550" s="70" t="e">
        <f t="shared" si="358"/>
        <v>#N/A</v>
      </c>
      <c r="W550" s="70"/>
      <c r="X550" s="70" t="e">
        <f t="shared" si="359"/>
        <v>#N/A</v>
      </c>
      <c r="Y550" s="70" t="e">
        <f t="shared" si="360"/>
        <v>#N/A</v>
      </c>
      <c r="Z550" s="70"/>
      <c r="AA550" s="70" t="e">
        <f t="shared" si="361"/>
        <v>#N/A</v>
      </c>
      <c r="AB550" s="70" t="e">
        <f t="shared" si="362"/>
        <v>#N/A</v>
      </c>
      <c r="AC550" s="70"/>
    </row>
    <row r="551" spans="1:29" s="2" customFormat="1">
      <c r="A551" s="70"/>
      <c r="B551" s="70"/>
      <c r="C551" s="70" t="e">
        <f t="shared" si="363"/>
        <v>#N/A</v>
      </c>
      <c r="D551" s="70" t="e">
        <f t="shared" si="364"/>
        <v>#N/A</v>
      </c>
      <c r="E551" s="70"/>
      <c r="F551" s="70" t="e">
        <f t="shared" si="365"/>
        <v>#N/A</v>
      </c>
      <c r="G551" s="70" t="e">
        <f t="shared" si="366"/>
        <v>#N/A</v>
      </c>
      <c r="H551" s="70"/>
      <c r="I551" s="70" t="e">
        <f t="shared" si="349"/>
        <v>#N/A</v>
      </c>
      <c r="J551" s="70" t="e">
        <f t="shared" si="350"/>
        <v>#N/A</v>
      </c>
      <c r="K551" s="70"/>
      <c r="L551" s="70" t="e">
        <f t="shared" si="351"/>
        <v>#N/A</v>
      </c>
      <c r="M551" s="70" t="e">
        <f t="shared" si="352"/>
        <v>#N/A</v>
      </c>
      <c r="N551" s="70"/>
      <c r="O551" s="70" t="e">
        <f t="shared" si="353"/>
        <v>#N/A</v>
      </c>
      <c r="P551" s="70" t="e">
        <f t="shared" si="354"/>
        <v>#N/A</v>
      </c>
      <c r="Q551" s="70"/>
      <c r="R551" s="70" t="e">
        <f t="shared" si="355"/>
        <v>#N/A</v>
      </c>
      <c r="S551" s="70" t="e">
        <f t="shared" si="356"/>
        <v>#N/A</v>
      </c>
      <c r="T551" s="70"/>
      <c r="U551" s="70" t="e">
        <f t="shared" si="357"/>
        <v>#N/A</v>
      </c>
      <c r="V551" s="70" t="e">
        <f t="shared" si="358"/>
        <v>#N/A</v>
      </c>
      <c r="W551" s="70"/>
      <c r="X551" s="70" t="e">
        <f t="shared" si="359"/>
        <v>#N/A</v>
      </c>
      <c r="Y551" s="70" t="e">
        <f t="shared" si="360"/>
        <v>#N/A</v>
      </c>
      <c r="Z551" s="70"/>
      <c r="AA551" s="70" t="e">
        <f t="shared" si="361"/>
        <v>#N/A</v>
      </c>
      <c r="AB551" s="70" t="e">
        <f t="shared" si="362"/>
        <v>#N/A</v>
      </c>
      <c r="AC551" s="70"/>
    </row>
    <row r="552" spans="1:29" s="2" customFormat="1">
      <c r="A552" s="70"/>
      <c r="B552" s="70"/>
      <c r="C552" s="70" t="e">
        <f t="shared" si="363"/>
        <v>#N/A</v>
      </c>
      <c r="D552" s="70" t="e">
        <f t="shared" si="364"/>
        <v>#N/A</v>
      </c>
      <c r="E552" s="70"/>
      <c r="F552" s="70" t="e">
        <f t="shared" si="365"/>
        <v>#N/A</v>
      </c>
      <c r="G552" s="70" t="e">
        <f t="shared" si="366"/>
        <v>#N/A</v>
      </c>
      <c r="H552" s="70"/>
      <c r="I552" s="70" t="e">
        <f t="shared" si="349"/>
        <v>#N/A</v>
      </c>
      <c r="J552" s="70" t="e">
        <f t="shared" si="350"/>
        <v>#N/A</v>
      </c>
      <c r="K552" s="70"/>
      <c r="L552" s="70" t="e">
        <f t="shared" si="351"/>
        <v>#N/A</v>
      </c>
      <c r="M552" s="70" t="e">
        <f t="shared" si="352"/>
        <v>#N/A</v>
      </c>
      <c r="N552" s="70"/>
      <c r="O552" s="70" t="e">
        <f t="shared" si="353"/>
        <v>#N/A</v>
      </c>
      <c r="P552" s="70" t="e">
        <f t="shared" si="354"/>
        <v>#N/A</v>
      </c>
      <c r="Q552" s="70"/>
      <c r="R552" s="70" t="e">
        <f t="shared" si="355"/>
        <v>#N/A</v>
      </c>
      <c r="S552" s="70" t="e">
        <f t="shared" si="356"/>
        <v>#N/A</v>
      </c>
      <c r="T552" s="70"/>
      <c r="U552" s="70" t="e">
        <f t="shared" si="357"/>
        <v>#N/A</v>
      </c>
      <c r="V552" s="70" t="e">
        <f t="shared" si="358"/>
        <v>#N/A</v>
      </c>
      <c r="W552" s="70"/>
      <c r="X552" s="70" t="e">
        <f t="shared" si="359"/>
        <v>#N/A</v>
      </c>
      <c r="Y552" s="70" t="e">
        <f t="shared" si="360"/>
        <v>#N/A</v>
      </c>
      <c r="Z552" s="70"/>
      <c r="AA552" s="70" t="e">
        <f t="shared" si="361"/>
        <v>#N/A</v>
      </c>
      <c r="AB552" s="70" t="e">
        <f t="shared" si="362"/>
        <v>#N/A</v>
      </c>
      <c r="AC552" s="70"/>
    </row>
    <row r="553" spans="1:29" s="2" customFormat="1">
      <c r="A553" s="70"/>
      <c r="B553" s="70"/>
      <c r="C553" s="70" t="e">
        <f>IF(AND(C561&gt;0,$F9&gt;4,$F$7=TRUE),C561+1,-4)</f>
        <v>#N/A</v>
      </c>
      <c r="D553" s="70" t="e">
        <f>IF(AND(C561&gt;0,$F9&gt;4,$F$7=TRUE),E9-1,-4)</f>
        <v>#N/A</v>
      </c>
      <c r="E553" s="70"/>
      <c r="F553" s="70" t="e">
        <f>IF(AND(I561&gt;0,$I9&gt;4,$I$7=TRUE),I561+1,-4)</f>
        <v>#N/A</v>
      </c>
      <c r="G553" s="70" t="e">
        <f>IF(AND(I561&gt;0,$I9&gt;4,$I$7=TRUE),H9-1,-4)</f>
        <v>#N/A</v>
      </c>
      <c r="H553" s="70"/>
      <c r="I553" s="70" t="e">
        <f t="shared" ref="I553:I560" si="367">IF(AND(I561&gt;0,$L9&gt;4,$L$7=TRUE),I561+1,-4)</f>
        <v>#N/A</v>
      </c>
      <c r="J553" s="70" t="e">
        <f t="shared" ref="J553:J560" si="368">IF(AND(I561&gt;0,$L9&gt;4,$L$7=TRUE),K9-1,-4)</f>
        <v>#N/A</v>
      </c>
      <c r="K553" s="70"/>
      <c r="L553" s="70" t="e">
        <f t="shared" ref="L553:L560" si="369">IF(AND(L561&gt;0,$O9&gt;4,$O$7=TRUE),L561+1,-4)</f>
        <v>#N/A</v>
      </c>
      <c r="M553" s="70" t="e">
        <f t="shared" ref="M553:M560" si="370">IF(AND(L561&gt;0,$O9&gt;4,$O$7=TRUE),N9-1,-4)</f>
        <v>#N/A</v>
      </c>
      <c r="N553" s="70"/>
      <c r="O553" s="70" t="e">
        <f t="shared" ref="O553:O560" si="371">IF(AND(O561&gt;0,$R9&gt;4,$R$7=TRUE),O561+1,-4)</f>
        <v>#N/A</v>
      </c>
      <c r="P553" s="70" t="e">
        <f t="shared" ref="P553:P560" si="372">IF(AND(O561&gt;0,$R9&gt;4,$R$7=TRUE),Q9-1,-4)</f>
        <v>#N/A</v>
      </c>
      <c r="Q553" s="70"/>
      <c r="R553" s="70" t="e">
        <f t="shared" ref="R553:R560" si="373">IF(AND(R561&gt;0,$U9&gt;4,$U$7=TRUE),R561+1,-4)</f>
        <v>#N/A</v>
      </c>
      <c r="S553" s="70" t="e">
        <f t="shared" ref="S553:S560" si="374">IF(AND(R561&gt;0,$U9&gt;4,$U$7=TRUE),T9-1,-4)</f>
        <v>#N/A</v>
      </c>
      <c r="T553" s="70"/>
      <c r="U553" s="70" t="e">
        <f t="shared" ref="U553:U560" si="375">IF(AND(U561&gt;0,$X9&gt;4,$X$7=TRUE),U561+1,-4)</f>
        <v>#N/A</v>
      </c>
      <c r="V553" s="70" t="e">
        <f t="shared" ref="V553:V560" si="376">IF(AND(U561&gt;0,$X9&gt;4,$X$7=TRUE),W9-1,-4)</f>
        <v>#N/A</v>
      </c>
      <c r="W553" s="70"/>
      <c r="X553" s="70" t="e">
        <f t="shared" ref="X553:X560" si="377">IF(AND(X561&gt;0,$AA9&gt;4,$AA$7=TRUE),X561+1,-4)</f>
        <v>#N/A</v>
      </c>
      <c r="Y553" s="70" t="e">
        <f t="shared" ref="Y553:Y560" si="378">IF(AND(X561&gt;0,$AA9&gt;4,$AA$7=TRUE),Z9-1,-4)</f>
        <v>#N/A</v>
      </c>
      <c r="Z553" s="70"/>
      <c r="AA553" s="70" t="e">
        <f t="shared" ref="AA553:AA560" si="379">IF(AND(AA561&gt;0,$AD9&gt;4,$AD$7=TRUE),AA561+1,-4)</f>
        <v>#N/A</v>
      </c>
      <c r="AB553" s="70" t="e">
        <f t="shared" ref="AB553:AB560" si="380">IF(AND(AA561&gt;0,$AD9&gt;4,$AD$7=TRUE),AC9-1,-4)</f>
        <v>#N/A</v>
      </c>
      <c r="AC553" s="70"/>
    </row>
    <row r="554" spans="1:29" s="2" customFormat="1">
      <c r="A554" s="70"/>
      <c r="B554" s="70" t="s">
        <v>223</v>
      </c>
      <c r="C554" s="70" t="e">
        <f t="shared" ref="C554:C560" si="381">IF(AND(C562&gt;0,$F10&gt;4,$F$7=TRUE),C562+1,-4)</f>
        <v>#N/A</v>
      </c>
      <c r="D554" s="70" t="e">
        <f t="shared" ref="D554:D560" si="382">IF(AND(C562&gt;0,$F10&gt;4,$F$7=TRUE),E10-1,-4)</f>
        <v>#N/A</v>
      </c>
      <c r="E554" s="70"/>
      <c r="F554" s="70" t="e">
        <f t="shared" ref="F554:F560" si="383">IF(AND(F562&gt;0,$I10&gt;4,$I$7=TRUE),F562+1,-4)</f>
        <v>#N/A</v>
      </c>
      <c r="G554" s="70" t="e">
        <f t="shared" ref="G554:G560" si="384">IF(AND(F562&gt;0,$I10&gt;4,$I$7=TRUE),H10-1,-4)</f>
        <v>#N/A</v>
      </c>
      <c r="H554" s="70"/>
      <c r="I554" s="70" t="e">
        <f t="shared" si="367"/>
        <v>#N/A</v>
      </c>
      <c r="J554" s="70" t="e">
        <f t="shared" si="368"/>
        <v>#N/A</v>
      </c>
      <c r="K554" s="70"/>
      <c r="L554" s="70" t="e">
        <f t="shared" si="369"/>
        <v>#N/A</v>
      </c>
      <c r="M554" s="70" t="e">
        <f t="shared" si="370"/>
        <v>#N/A</v>
      </c>
      <c r="N554" s="70"/>
      <c r="O554" s="70" t="e">
        <f t="shared" si="371"/>
        <v>#N/A</v>
      </c>
      <c r="P554" s="70" t="e">
        <f t="shared" si="372"/>
        <v>#N/A</v>
      </c>
      <c r="Q554" s="70"/>
      <c r="R554" s="70" t="e">
        <f t="shared" si="373"/>
        <v>#N/A</v>
      </c>
      <c r="S554" s="70" t="e">
        <f t="shared" si="374"/>
        <v>#N/A</v>
      </c>
      <c r="T554" s="70"/>
      <c r="U554" s="70" t="e">
        <f t="shared" si="375"/>
        <v>#N/A</v>
      </c>
      <c r="V554" s="70" t="e">
        <f t="shared" si="376"/>
        <v>#N/A</v>
      </c>
      <c r="W554" s="70"/>
      <c r="X554" s="70" t="e">
        <f t="shared" si="377"/>
        <v>#N/A</v>
      </c>
      <c r="Y554" s="70" t="e">
        <f t="shared" si="378"/>
        <v>#N/A</v>
      </c>
      <c r="Z554" s="70"/>
      <c r="AA554" s="70" t="e">
        <f t="shared" si="379"/>
        <v>#N/A</v>
      </c>
      <c r="AB554" s="70" t="e">
        <f t="shared" si="380"/>
        <v>#N/A</v>
      </c>
      <c r="AC554" s="70"/>
    </row>
    <row r="555" spans="1:29" s="2" customFormat="1">
      <c r="A555" s="70"/>
      <c r="B555" s="70"/>
      <c r="C555" s="70" t="e">
        <f t="shared" si="381"/>
        <v>#N/A</v>
      </c>
      <c r="D555" s="70" t="e">
        <f t="shared" si="382"/>
        <v>#N/A</v>
      </c>
      <c r="E555" s="70"/>
      <c r="F555" s="70" t="e">
        <f t="shared" si="383"/>
        <v>#N/A</v>
      </c>
      <c r="G555" s="70" t="e">
        <f t="shared" si="384"/>
        <v>#N/A</v>
      </c>
      <c r="H555" s="70"/>
      <c r="I555" s="70" t="e">
        <f t="shared" si="367"/>
        <v>#N/A</v>
      </c>
      <c r="J555" s="70" t="e">
        <f t="shared" si="368"/>
        <v>#N/A</v>
      </c>
      <c r="K555" s="70"/>
      <c r="L555" s="70" t="e">
        <f t="shared" si="369"/>
        <v>#N/A</v>
      </c>
      <c r="M555" s="70" t="e">
        <f t="shared" si="370"/>
        <v>#N/A</v>
      </c>
      <c r="N555" s="70"/>
      <c r="O555" s="70" t="e">
        <f t="shared" si="371"/>
        <v>#N/A</v>
      </c>
      <c r="P555" s="70" t="e">
        <f t="shared" si="372"/>
        <v>#N/A</v>
      </c>
      <c r="Q555" s="70"/>
      <c r="R555" s="70" t="e">
        <f t="shared" si="373"/>
        <v>#N/A</v>
      </c>
      <c r="S555" s="70" t="e">
        <f t="shared" si="374"/>
        <v>#N/A</v>
      </c>
      <c r="T555" s="70"/>
      <c r="U555" s="70" t="e">
        <f t="shared" si="375"/>
        <v>#N/A</v>
      </c>
      <c r="V555" s="70" t="e">
        <f t="shared" si="376"/>
        <v>#N/A</v>
      </c>
      <c r="W555" s="70"/>
      <c r="X555" s="70" t="e">
        <f t="shared" si="377"/>
        <v>#N/A</v>
      </c>
      <c r="Y555" s="70" t="e">
        <f t="shared" si="378"/>
        <v>#N/A</v>
      </c>
      <c r="Z555" s="70"/>
      <c r="AA555" s="70" t="e">
        <f t="shared" si="379"/>
        <v>#N/A</v>
      </c>
      <c r="AB555" s="70" t="e">
        <f t="shared" si="380"/>
        <v>#N/A</v>
      </c>
      <c r="AC555" s="70"/>
    </row>
    <row r="556" spans="1:29" s="2" customFormat="1">
      <c r="A556" s="70"/>
      <c r="B556" s="70"/>
      <c r="C556" s="70" t="e">
        <f t="shared" si="381"/>
        <v>#N/A</v>
      </c>
      <c r="D556" s="70" t="e">
        <f t="shared" si="382"/>
        <v>#N/A</v>
      </c>
      <c r="E556" s="70"/>
      <c r="F556" s="70" t="e">
        <f t="shared" si="383"/>
        <v>#N/A</v>
      </c>
      <c r="G556" s="70" t="e">
        <f t="shared" si="384"/>
        <v>#N/A</v>
      </c>
      <c r="H556" s="70"/>
      <c r="I556" s="70" t="e">
        <f t="shared" si="367"/>
        <v>#N/A</v>
      </c>
      <c r="J556" s="70" t="e">
        <f t="shared" si="368"/>
        <v>#N/A</v>
      </c>
      <c r="K556" s="70"/>
      <c r="L556" s="70" t="e">
        <f t="shared" si="369"/>
        <v>#N/A</v>
      </c>
      <c r="M556" s="70" t="e">
        <f t="shared" si="370"/>
        <v>#N/A</v>
      </c>
      <c r="N556" s="70"/>
      <c r="O556" s="70" t="e">
        <f t="shared" si="371"/>
        <v>#N/A</v>
      </c>
      <c r="P556" s="70" t="e">
        <f t="shared" si="372"/>
        <v>#N/A</v>
      </c>
      <c r="Q556" s="70"/>
      <c r="R556" s="70" t="e">
        <f t="shared" si="373"/>
        <v>#N/A</v>
      </c>
      <c r="S556" s="70" t="e">
        <f t="shared" si="374"/>
        <v>#N/A</v>
      </c>
      <c r="T556" s="70"/>
      <c r="U556" s="70" t="e">
        <f t="shared" si="375"/>
        <v>#N/A</v>
      </c>
      <c r="V556" s="70" t="e">
        <f t="shared" si="376"/>
        <v>#N/A</v>
      </c>
      <c r="W556" s="70"/>
      <c r="X556" s="70" t="e">
        <f t="shared" si="377"/>
        <v>#N/A</v>
      </c>
      <c r="Y556" s="70" t="e">
        <f t="shared" si="378"/>
        <v>#N/A</v>
      </c>
      <c r="Z556" s="70"/>
      <c r="AA556" s="70" t="e">
        <f t="shared" si="379"/>
        <v>#N/A</v>
      </c>
      <c r="AB556" s="70" t="e">
        <f t="shared" si="380"/>
        <v>#N/A</v>
      </c>
      <c r="AC556" s="70"/>
    </row>
    <row r="557" spans="1:29" s="2" customFormat="1">
      <c r="A557" s="70"/>
      <c r="B557" s="70"/>
      <c r="C557" s="70" t="e">
        <f t="shared" si="381"/>
        <v>#N/A</v>
      </c>
      <c r="D557" s="70" t="e">
        <f t="shared" si="382"/>
        <v>#N/A</v>
      </c>
      <c r="E557" s="70"/>
      <c r="F557" s="70" t="e">
        <f t="shared" si="383"/>
        <v>#N/A</v>
      </c>
      <c r="G557" s="70" t="e">
        <f t="shared" si="384"/>
        <v>#N/A</v>
      </c>
      <c r="H557" s="70"/>
      <c r="I557" s="70" t="e">
        <f t="shared" si="367"/>
        <v>#N/A</v>
      </c>
      <c r="J557" s="70" t="e">
        <f t="shared" si="368"/>
        <v>#N/A</v>
      </c>
      <c r="K557" s="70"/>
      <c r="L557" s="70" t="e">
        <f t="shared" si="369"/>
        <v>#N/A</v>
      </c>
      <c r="M557" s="70" t="e">
        <f t="shared" si="370"/>
        <v>#N/A</v>
      </c>
      <c r="N557" s="70"/>
      <c r="O557" s="70" t="e">
        <f t="shared" si="371"/>
        <v>#N/A</v>
      </c>
      <c r="P557" s="70" t="e">
        <f t="shared" si="372"/>
        <v>#N/A</v>
      </c>
      <c r="Q557" s="70"/>
      <c r="R557" s="70" t="e">
        <f t="shared" si="373"/>
        <v>#N/A</v>
      </c>
      <c r="S557" s="70" t="e">
        <f t="shared" si="374"/>
        <v>#N/A</v>
      </c>
      <c r="T557" s="70"/>
      <c r="U557" s="70" t="e">
        <f t="shared" si="375"/>
        <v>#N/A</v>
      </c>
      <c r="V557" s="70" t="e">
        <f t="shared" si="376"/>
        <v>#N/A</v>
      </c>
      <c r="W557" s="70"/>
      <c r="X557" s="70" t="e">
        <f t="shared" si="377"/>
        <v>#N/A</v>
      </c>
      <c r="Y557" s="70" t="e">
        <f t="shared" si="378"/>
        <v>#N/A</v>
      </c>
      <c r="Z557" s="70"/>
      <c r="AA557" s="70" t="e">
        <f t="shared" si="379"/>
        <v>#N/A</v>
      </c>
      <c r="AB557" s="70" t="e">
        <f t="shared" si="380"/>
        <v>#N/A</v>
      </c>
      <c r="AC557" s="70"/>
    </row>
    <row r="558" spans="1:29" s="2" customFormat="1">
      <c r="A558" s="70"/>
      <c r="B558" s="70"/>
      <c r="C558" s="70" t="e">
        <f t="shared" si="381"/>
        <v>#N/A</v>
      </c>
      <c r="D558" s="70" t="e">
        <f t="shared" si="382"/>
        <v>#N/A</v>
      </c>
      <c r="E558" s="70"/>
      <c r="F558" s="70" t="e">
        <f t="shared" si="383"/>
        <v>#N/A</v>
      </c>
      <c r="G558" s="70" t="e">
        <f t="shared" si="384"/>
        <v>#N/A</v>
      </c>
      <c r="H558" s="70"/>
      <c r="I558" s="70" t="e">
        <f t="shared" si="367"/>
        <v>#N/A</v>
      </c>
      <c r="J558" s="70" t="e">
        <f t="shared" si="368"/>
        <v>#N/A</v>
      </c>
      <c r="K558" s="70"/>
      <c r="L558" s="70" t="e">
        <f t="shared" si="369"/>
        <v>#N/A</v>
      </c>
      <c r="M558" s="70" t="e">
        <f t="shared" si="370"/>
        <v>#N/A</v>
      </c>
      <c r="N558" s="70"/>
      <c r="O558" s="70" t="e">
        <f t="shared" si="371"/>
        <v>#N/A</v>
      </c>
      <c r="P558" s="70" t="e">
        <f t="shared" si="372"/>
        <v>#N/A</v>
      </c>
      <c r="Q558" s="70"/>
      <c r="R558" s="70" t="e">
        <f t="shared" si="373"/>
        <v>#N/A</v>
      </c>
      <c r="S558" s="70" t="e">
        <f t="shared" si="374"/>
        <v>#N/A</v>
      </c>
      <c r="T558" s="70"/>
      <c r="U558" s="70" t="e">
        <f t="shared" si="375"/>
        <v>#N/A</v>
      </c>
      <c r="V558" s="70" t="e">
        <f t="shared" si="376"/>
        <v>#N/A</v>
      </c>
      <c r="W558" s="70"/>
      <c r="X558" s="70" t="e">
        <f t="shared" si="377"/>
        <v>#N/A</v>
      </c>
      <c r="Y558" s="70" t="e">
        <f t="shared" si="378"/>
        <v>#N/A</v>
      </c>
      <c r="Z558" s="70"/>
      <c r="AA558" s="70" t="e">
        <f t="shared" si="379"/>
        <v>#N/A</v>
      </c>
      <c r="AB558" s="70" t="e">
        <f t="shared" si="380"/>
        <v>#N/A</v>
      </c>
      <c r="AC558" s="70"/>
    </row>
    <row r="559" spans="1:29" s="2" customFormat="1">
      <c r="A559" s="70"/>
      <c r="B559" s="70"/>
      <c r="C559" s="70" t="e">
        <f t="shared" si="381"/>
        <v>#N/A</v>
      </c>
      <c r="D559" s="70" t="e">
        <f t="shared" si="382"/>
        <v>#N/A</v>
      </c>
      <c r="E559" s="70"/>
      <c r="F559" s="70" t="e">
        <f t="shared" si="383"/>
        <v>#N/A</v>
      </c>
      <c r="G559" s="70" t="e">
        <f t="shared" si="384"/>
        <v>#N/A</v>
      </c>
      <c r="H559" s="70"/>
      <c r="I559" s="70" t="e">
        <f t="shared" si="367"/>
        <v>#N/A</v>
      </c>
      <c r="J559" s="70" t="e">
        <f t="shared" si="368"/>
        <v>#N/A</v>
      </c>
      <c r="K559" s="70"/>
      <c r="L559" s="70" t="e">
        <f t="shared" si="369"/>
        <v>#N/A</v>
      </c>
      <c r="M559" s="70" t="e">
        <f t="shared" si="370"/>
        <v>#N/A</v>
      </c>
      <c r="N559" s="70"/>
      <c r="O559" s="70" t="e">
        <f t="shared" si="371"/>
        <v>#N/A</v>
      </c>
      <c r="P559" s="70" t="e">
        <f t="shared" si="372"/>
        <v>#N/A</v>
      </c>
      <c r="Q559" s="70"/>
      <c r="R559" s="70" t="e">
        <f t="shared" si="373"/>
        <v>#N/A</v>
      </c>
      <c r="S559" s="70" t="e">
        <f t="shared" si="374"/>
        <v>#N/A</v>
      </c>
      <c r="T559" s="70"/>
      <c r="U559" s="70" t="e">
        <f t="shared" si="375"/>
        <v>#N/A</v>
      </c>
      <c r="V559" s="70" t="e">
        <f t="shared" si="376"/>
        <v>#N/A</v>
      </c>
      <c r="W559" s="70"/>
      <c r="X559" s="70" t="e">
        <f t="shared" si="377"/>
        <v>#N/A</v>
      </c>
      <c r="Y559" s="70" t="e">
        <f t="shared" si="378"/>
        <v>#N/A</v>
      </c>
      <c r="Z559" s="70"/>
      <c r="AA559" s="70" t="e">
        <f t="shared" si="379"/>
        <v>#N/A</v>
      </c>
      <c r="AB559" s="70" t="e">
        <f t="shared" si="380"/>
        <v>#N/A</v>
      </c>
      <c r="AC559" s="70"/>
    </row>
    <row r="560" spans="1:29" s="2" customFormat="1">
      <c r="A560" s="70"/>
      <c r="B560" s="70"/>
      <c r="C560" s="70" t="e">
        <f t="shared" si="381"/>
        <v>#N/A</v>
      </c>
      <c r="D560" s="70" t="e">
        <f t="shared" si="382"/>
        <v>#N/A</v>
      </c>
      <c r="E560" s="70"/>
      <c r="F560" s="70" t="e">
        <f t="shared" si="383"/>
        <v>#N/A</v>
      </c>
      <c r="G560" s="70" t="e">
        <f t="shared" si="384"/>
        <v>#N/A</v>
      </c>
      <c r="H560" s="70"/>
      <c r="I560" s="70" t="e">
        <f t="shared" si="367"/>
        <v>#N/A</v>
      </c>
      <c r="J560" s="70" t="e">
        <f t="shared" si="368"/>
        <v>#N/A</v>
      </c>
      <c r="K560" s="70"/>
      <c r="L560" s="70" t="e">
        <f t="shared" si="369"/>
        <v>#N/A</v>
      </c>
      <c r="M560" s="70" t="e">
        <f t="shared" si="370"/>
        <v>#N/A</v>
      </c>
      <c r="N560" s="70"/>
      <c r="O560" s="70" t="e">
        <f t="shared" si="371"/>
        <v>#N/A</v>
      </c>
      <c r="P560" s="70" t="e">
        <f t="shared" si="372"/>
        <v>#N/A</v>
      </c>
      <c r="Q560" s="70"/>
      <c r="R560" s="70" t="e">
        <f t="shared" si="373"/>
        <v>#N/A</v>
      </c>
      <c r="S560" s="70" t="e">
        <f t="shared" si="374"/>
        <v>#N/A</v>
      </c>
      <c r="T560" s="70"/>
      <c r="U560" s="70" t="e">
        <f t="shared" si="375"/>
        <v>#N/A</v>
      </c>
      <c r="V560" s="70" t="e">
        <f t="shared" si="376"/>
        <v>#N/A</v>
      </c>
      <c r="W560" s="70"/>
      <c r="X560" s="70" t="e">
        <f t="shared" si="377"/>
        <v>#N/A</v>
      </c>
      <c r="Y560" s="70" t="e">
        <f t="shared" si="378"/>
        <v>#N/A</v>
      </c>
      <c r="Z560" s="70"/>
      <c r="AA560" s="70" t="e">
        <f t="shared" si="379"/>
        <v>#N/A</v>
      </c>
      <c r="AB560" s="70" t="e">
        <f t="shared" si="380"/>
        <v>#N/A</v>
      </c>
      <c r="AC560" s="70"/>
    </row>
    <row r="561" spans="1:29" s="2" customFormat="1">
      <c r="A561" s="70"/>
      <c r="B561" s="70"/>
      <c r="C561" s="70" t="e">
        <f>IF(D9&lt;=0,NA(),IF($A$5,IF(F$1="i",D9-D681*2,IF($B$2&lt;=D689,D9-($B$2*((E$1/600)+(0.005*$A$3))),IF($B$2&lt;=(E689+D689),D9-(D689*((E$1/600)+(0.005*$A$3))+($B$2-D689)*(E$1/600)),D9-(D689*((E$1/600)+(0.005*$A$3))+E689*(E$1/600))))),IF(F$17,MAX(C569,C577,C585,C593,C601,C609,C617,C625,C633,C641,C649,C657,C665,C673),D9)))</f>
        <v>#N/A</v>
      </c>
      <c r="D561" s="70"/>
      <c r="E561" s="70"/>
      <c r="F561" s="70" t="e">
        <f t="shared" ref="F561:F568" si="385">IF(G9&lt;=0,NA(),IF($A$5,IF($B$2&lt;=G689,G9-($B$2*((H$1/600)+(0.005*$A$3))),IF($B$2&lt;=(H689+G689),G9-(G689*((H$1/600)+(0.005*$A$3))+($B$2-G689)*(H$1/600)),G9-(G689*((H$1/600)+(0.005*$A$3))+H689*(H$1/600)))),IF(I$17,MAX(F569,F577,F585,F593,F601,F609,F617,F625,F633,F641,F649,F657,F665,F673),G9)))</f>
        <v>#N/A</v>
      </c>
      <c r="G561" s="70"/>
      <c r="H561" s="70"/>
      <c r="I561" s="70" t="e">
        <f t="shared" ref="I561:I568" si="386">IF(J9&lt;=0,NA(),IF($A$5,IF($B$2&lt;=J689,J9-($B$2*((K$1/600)+(0.005*$A$3))),IF($B$2&lt;=(K689+J689),J9-(J689*((K$1/600)+(0.005*$A$3))+($B$2-J689)*(K$1/600)),J9-(J689*((K$1/600)+(0.005*$A$3))+K689*(K$1/600)))),IF(L$17,MAX(I569,I577,I585,I593,I601,I609,I617,I625,I633,I641,I649,I657,I665,I673),J9)))</f>
        <v>#N/A</v>
      </c>
      <c r="J561" s="70"/>
      <c r="K561" s="70"/>
      <c r="L561" s="70" t="e">
        <f t="shared" ref="L561:L568" si="387">IF(M9&lt;=0,NA(),IF($A$5,IF($B$2&lt;=M689,M9-($B$2*((N$1/600)+(0.005*$A$3))),IF($B$2&lt;=(N689+M689),M9-(M689*((N$1/600)+(0.005*$A$3))+($B$2-M689)*(N$1/600)),M9-(M689*((N$1/600)+(0.005*$A$3))+N689*(N$1/600)))),IF(O$17,MAX(L569,L577,L585,L593,L601,L609,L617,L625,L633,L641,L649,L657,L665,L673),M9)))</f>
        <v>#N/A</v>
      </c>
      <c r="M561" s="70"/>
      <c r="N561" s="70"/>
      <c r="O561" s="70" t="e">
        <f t="shared" ref="O561:O568" si="388">IF(P9&lt;=0,NA(),IF($A$5,IF($B$2&lt;=P689,P9-($B$2*((Q$1/600)+(0.005*$A$3))),IF($B$2&lt;=(Q689+P689),P9-(P689*((Q$1/600)+(0.005*$A$3))+($B$2-P689)*(Q$1/600)),P9-(P689*((Q$1/600)+(0.005*$A$3))+Q689*(Q$1/600)))),IF(R$17,MAX(O569,O577,O585,O593,O601,O609,O617,O625,O633,O641,O649,O657,O665,O673),P9)))</f>
        <v>#N/A</v>
      </c>
      <c r="P561" s="70"/>
      <c r="Q561" s="70"/>
      <c r="R561" s="70" t="e">
        <f t="shared" ref="R561:R568" si="389">IF(S9&lt;=0,NA(),IF($A$5,IF($B$2&lt;=S689,S9-($B$2*((T$1/600)+(0.005*$A$3))),IF($B$2&lt;=(T689+S689),S9-(S689*((T$1/600)+(0.005*$A$3))+($B$2-S689)*(T$1/600)),S9-(S689*((T$1/600)+(0.005*$A$3))+T689*(T$1/600)))),IF(U$17,MAX(R569,R577,R585,R593,R601,R609,R617,R625,R633,R641,R649,R657,R665,R673),S9)))</f>
        <v>#N/A</v>
      </c>
      <c r="S561" s="70"/>
      <c r="T561" s="70"/>
      <c r="U561" s="70" t="e">
        <f t="shared" ref="U561:U568" si="390">IF(V9&lt;=0,NA(),IF($A$5,IF($B$2&lt;=V689,V9-($B$2*((W$1/600)+(0.005*$A$3))),IF($B$2&lt;=(W689+V689),V9-(V689*((W$1/600)+(0.005*$A$3))+($B$2-V689)*(W$1/600)),V9-(V689*((W$1/600)+(0.005*$A$3))+W689*(W$1/600)))),IF(X$17,MAX(U569,U577,U585,U593,U601,U609,U617,U625,U633,U641,U649,U657,U665,U673),V9)))</f>
        <v>#N/A</v>
      </c>
      <c r="V561" s="70"/>
      <c r="W561" s="70"/>
      <c r="X561" s="70" t="e">
        <f t="shared" ref="X561:X568" si="391">IF(Y9&lt;=0,NA(),IF($A$5,IF($B$2&lt;=Y689,Y9-($B$2*((Z$1/600)+(0.005*$A$3))),IF($B$2&lt;=(Z689+Y689),Y9-(Y689*((Z$1/600)+(0.005*$A$3))+($B$2-Y689)*(Z$1/600)),Y9-(Y689*((Z$1/600)+(0.005*$A$3))+Z689*(Z$1/600)))),IF(AA$17,MAX(X569,X577,X585,X593,X601,X609,X617,X625,X633,X641,X649,X657,X665,X673),Y9)))</f>
        <v>#N/A</v>
      </c>
      <c r="Y561" s="70"/>
      <c r="Z561" s="70"/>
      <c r="AA561" s="70" t="e">
        <f t="shared" ref="AA561:AA568" si="392">IF(AB9&lt;=0,NA(),IF($A$5,IF($B$2&lt;=AB689,AB9-($B$2*((AC$1/600)+(0.005*$A$3))),IF($B$2&lt;=(AC689+AB689),AB9-(AB689*((AC$1/600)+(0.005*$A$3))+($B$2-AB689)*(AC$1/600)),AB9-(AB689*((AC$1/600)+(0.005*$A$3))+AC689*(AC$1/600)))),IF(AD$17,MAX(AA569,AA577,AA585,AA593,AA601,AA609,AA617,AA625,AA633,AA641,AA649,AA657,AA665,AA673),AB9)))</f>
        <v>#N/A</v>
      </c>
      <c r="AB561" s="70"/>
      <c r="AC561" s="70"/>
    </row>
    <row r="562" spans="1:29" s="2" customFormat="1">
      <c r="A562" s="70"/>
      <c r="B562" s="70" t="s">
        <v>224</v>
      </c>
      <c r="C562" s="70" t="e">
        <f t="shared" ref="C562:C568" si="393">IF(D10&lt;=0,NA(),IF($A$5,IF(F$1="i",D10-D682*2,IF($B$2&lt;=D690,D10-($B$2*((E$1/600)+(0.005*$A$3))),IF($B$2&lt;=(E690+D690),D10-(D690*((E$1/600)+(0.005*$A$3))+($B$2-D690)*(E$1/600)),D10-(D690*((E$1/600)+(0.005*$A$3))+E690*(E$1/600))))),IF(F$17,MAX(C570,C578,C586,C594,C602,C610,C618,C626,C634,C642,C650,C658,C666,C674),D10)))</f>
        <v>#N/A</v>
      </c>
      <c r="D562" s="70"/>
      <c r="E562" s="70"/>
      <c r="F562" s="70" t="e">
        <f t="shared" si="385"/>
        <v>#N/A</v>
      </c>
      <c r="G562" s="70"/>
      <c r="H562" s="70"/>
      <c r="I562" s="70" t="e">
        <f t="shared" si="386"/>
        <v>#N/A</v>
      </c>
      <c r="J562" s="70"/>
      <c r="K562" s="70"/>
      <c r="L562" s="70" t="e">
        <f t="shared" si="387"/>
        <v>#N/A</v>
      </c>
      <c r="M562" s="70"/>
      <c r="N562" s="70"/>
      <c r="O562" s="70" t="e">
        <f t="shared" si="388"/>
        <v>#N/A</v>
      </c>
      <c r="P562" s="70"/>
      <c r="Q562" s="70"/>
      <c r="R562" s="70" t="e">
        <f t="shared" si="389"/>
        <v>#N/A</v>
      </c>
      <c r="S562" s="70"/>
      <c r="T562" s="70"/>
      <c r="U562" s="70" t="e">
        <f t="shared" si="390"/>
        <v>#N/A</v>
      </c>
      <c r="V562" s="70"/>
      <c r="W562" s="70"/>
      <c r="X562" s="70" t="e">
        <f t="shared" si="391"/>
        <v>#N/A</v>
      </c>
      <c r="Y562" s="70"/>
      <c r="Z562" s="70"/>
      <c r="AA562" s="70" t="e">
        <f t="shared" si="392"/>
        <v>#N/A</v>
      </c>
      <c r="AB562" s="70"/>
      <c r="AC562" s="70"/>
    </row>
    <row r="563" spans="1:29" s="2" customFormat="1">
      <c r="A563" s="70"/>
      <c r="B563" s="70"/>
      <c r="C563" s="70" t="e">
        <f t="shared" si="393"/>
        <v>#N/A</v>
      </c>
      <c r="D563" s="70"/>
      <c r="E563" s="70"/>
      <c r="F563" s="70" t="e">
        <f t="shared" si="385"/>
        <v>#N/A</v>
      </c>
      <c r="G563" s="70"/>
      <c r="H563" s="70"/>
      <c r="I563" s="70" t="e">
        <f t="shared" si="386"/>
        <v>#N/A</v>
      </c>
      <c r="J563" s="70"/>
      <c r="K563" s="70"/>
      <c r="L563" s="70" t="e">
        <f t="shared" si="387"/>
        <v>#N/A</v>
      </c>
      <c r="M563" s="70"/>
      <c r="N563" s="70"/>
      <c r="O563" s="70" t="e">
        <f t="shared" si="388"/>
        <v>#N/A</v>
      </c>
      <c r="P563" s="70"/>
      <c r="Q563" s="70"/>
      <c r="R563" s="70" t="e">
        <f t="shared" si="389"/>
        <v>#N/A</v>
      </c>
      <c r="S563" s="70"/>
      <c r="T563" s="70"/>
      <c r="U563" s="70" t="e">
        <f t="shared" si="390"/>
        <v>#N/A</v>
      </c>
      <c r="V563" s="70"/>
      <c r="W563" s="70"/>
      <c r="X563" s="70" t="e">
        <f t="shared" si="391"/>
        <v>#N/A</v>
      </c>
      <c r="Y563" s="70"/>
      <c r="Z563" s="70"/>
      <c r="AA563" s="70" t="e">
        <f t="shared" si="392"/>
        <v>#N/A</v>
      </c>
      <c r="AB563" s="70"/>
      <c r="AC563" s="70"/>
    </row>
    <row r="564" spans="1:29" s="2" customFormat="1">
      <c r="A564" s="70"/>
      <c r="B564" s="70"/>
      <c r="C564" s="70" t="e">
        <f t="shared" si="393"/>
        <v>#N/A</v>
      </c>
      <c r="D564" s="70"/>
      <c r="E564" s="70"/>
      <c r="F564" s="70" t="e">
        <f t="shared" si="385"/>
        <v>#N/A</v>
      </c>
      <c r="G564" s="70"/>
      <c r="H564" s="70"/>
      <c r="I564" s="70" t="e">
        <f t="shared" si="386"/>
        <v>#N/A</v>
      </c>
      <c r="J564" s="70"/>
      <c r="K564" s="70"/>
      <c r="L564" s="70" t="e">
        <f t="shared" si="387"/>
        <v>#N/A</v>
      </c>
      <c r="M564" s="70"/>
      <c r="N564" s="70"/>
      <c r="O564" s="70" t="e">
        <f t="shared" si="388"/>
        <v>#N/A</v>
      </c>
      <c r="P564" s="70"/>
      <c r="Q564" s="70"/>
      <c r="R564" s="70" t="e">
        <f t="shared" si="389"/>
        <v>#N/A</v>
      </c>
      <c r="S564" s="70"/>
      <c r="T564" s="70"/>
      <c r="U564" s="70" t="e">
        <f t="shared" si="390"/>
        <v>#N/A</v>
      </c>
      <c r="V564" s="70"/>
      <c r="W564" s="70"/>
      <c r="X564" s="70" t="e">
        <f t="shared" si="391"/>
        <v>#N/A</v>
      </c>
      <c r="Y564" s="70"/>
      <c r="Z564" s="70"/>
      <c r="AA564" s="70" t="e">
        <f t="shared" si="392"/>
        <v>#N/A</v>
      </c>
      <c r="AB564" s="70"/>
      <c r="AC564" s="70"/>
    </row>
    <row r="565" spans="1:29" s="2" customFormat="1">
      <c r="A565" s="70"/>
      <c r="B565" s="70"/>
      <c r="C565" s="70" t="e">
        <f t="shared" si="393"/>
        <v>#N/A</v>
      </c>
      <c r="D565" s="70"/>
      <c r="E565" s="70"/>
      <c r="F565" s="70" t="e">
        <f t="shared" si="385"/>
        <v>#N/A</v>
      </c>
      <c r="G565" s="70"/>
      <c r="H565" s="70"/>
      <c r="I565" s="70" t="e">
        <f t="shared" si="386"/>
        <v>#N/A</v>
      </c>
      <c r="J565" s="70"/>
      <c r="K565" s="70"/>
      <c r="L565" s="70" t="e">
        <f t="shared" si="387"/>
        <v>#N/A</v>
      </c>
      <c r="M565" s="70"/>
      <c r="N565" s="70"/>
      <c r="O565" s="70" t="e">
        <f t="shared" si="388"/>
        <v>#N/A</v>
      </c>
      <c r="P565" s="70"/>
      <c r="Q565" s="70"/>
      <c r="R565" s="70" t="e">
        <f t="shared" si="389"/>
        <v>#N/A</v>
      </c>
      <c r="S565" s="70"/>
      <c r="T565" s="70"/>
      <c r="U565" s="70" t="e">
        <f t="shared" si="390"/>
        <v>#N/A</v>
      </c>
      <c r="V565" s="70"/>
      <c r="W565" s="70"/>
      <c r="X565" s="70" t="e">
        <f t="shared" si="391"/>
        <v>#N/A</v>
      </c>
      <c r="Y565" s="70"/>
      <c r="Z565" s="70"/>
      <c r="AA565" s="70" t="e">
        <f t="shared" si="392"/>
        <v>#N/A</v>
      </c>
      <c r="AB565" s="70"/>
      <c r="AC565" s="70"/>
    </row>
    <row r="566" spans="1:29" s="2" customFormat="1">
      <c r="A566" s="70"/>
      <c r="B566" s="70"/>
      <c r="C566" s="70" t="e">
        <f t="shared" si="393"/>
        <v>#N/A</v>
      </c>
      <c r="D566" s="70"/>
      <c r="E566" s="70"/>
      <c r="F566" s="70" t="e">
        <f t="shared" si="385"/>
        <v>#N/A</v>
      </c>
      <c r="G566" s="70"/>
      <c r="H566" s="70"/>
      <c r="I566" s="70" t="e">
        <f t="shared" si="386"/>
        <v>#N/A</v>
      </c>
      <c r="J566" s="70"/>
      <c r="K566" s="70"/>
      <c r="L566" s="70" t="e">
        <f t="shared" si="387"/>
        <v>#N/A</v>
      </c>
      <c r="M566" s="70"/>
      <c r="N566" s="70"/>
      <c r="O566" s="70" t="e">
        <f t="shared" si="388"/>
        <v>#N/A</v>
      </c>
      <c r="P566" s="70"/>
      <c r="Q566" s="70"/>
      <c r="R566" s="70" t="e">
        <f t="shared" si="389"/>
        <v>#N/A</v>
      </c>
      <c r="S566" s="70"/>
      <c r="T566" s="70"/>
      <c r="U566" s="70" t="e">
        <f t="shared" si="390"/>
        <v>#N/A</v>
      </c>
      <c r="V566" s="70"/>
      <c r="W566" s="70"/>
      <c r="X566" s="70" t="e">
        <f t="shared" si="391"/>
        <v>#N/A</v>
      </c>
      <c r="Y566" s="70"/>
      <c r="Z566" s="70"/>
      <c r="AA566" s="70" t="e">
        <f t="shared" si="392"/>
        <v>#N/A</v>
      </c>
      <c r="AB566" s="70"/>
      <c r="AC566" s="70"/>
    </row>
    <row r="567" spans="1:29" s="2" customFormat="1">
      <c r="A567" s="70"/>
      <c r="B567" s="70"/>
      <c r="C567" s="70" t="e">
        <f t="shared" si="393"/>
        <v>#N/A</v>
      </c>
      <c r="D567" s="70"/>
      <c r="E567" s="70"/>
      <c r="F567" s="70" t="e">
        <f t="shared" si="385"/>
        <v>#N/A</v>
      </c>
      <c r="G567" s="70"/>
      <c r="H567" s="70"/>
      <c r="I567" s="70" t="e">
        <f t="shared" si="386"/>
        <v>#N/A</v>
      </c>
      <c r="J567" s="70"/>
      <c r="K567" s="70"/>
      <c r="L567" s="70" t="e">
        <f t="shared" si="387"/>
        <v>#N/A</v>
      </c>
      <c r="M567" s="70"/>
      <c r="N567" s="70"/>
      <c r="O567" s="70" t="e">
        <f t="shared" si="388"/>
        <v>#N/A</v>
      </c>
      <c r="P567" s="70"/>
      <c r="Q567" s="70"/>
      <c r="R567" s="70" t="e">
        <f t="shared" si="389"/>
        <v>#N/A</v>
      </c>
      <c r="S567" s="70"/>
      <c r="T567" s="70"/>
      <c r="U567" s="70" t="e">
        <f t="shared" si="390"/>
        <v>#N/A</v>
      </c>
      <c r="V567" s="70"/>
      <c r="W567" s="70"/>
      <c r="X567" s="70" t="e">
        <f t="shared" si="391"/>
        <v>#N/A</v>
      </c>
      <c r="Y567" s="70"/>
      <c r="Z567" s="70"/>
      <c r="AA567" s="70" t="e">
        <f t="shared" si="392"/>
        <v>#N/A</v>
      </c>
      <c r="AB567" s="70"/>
      <c r="AC567" s="70"/>
    </row>
    <row r="568" spans="1:29" s="2" customFormat="1">
      <c r="A568" s="70"/>
      <c r="B568" s="70"/>
      <c r="C568" s="70" t="e">
        <f t="shared" si="393"/>
        <v>#N/A</v>
      </c>
      <c r="D568" s="70"/>
      <c r="E568" s="70"/>
      <c r="F568" s="70" t="e">
        <f t="shared" si="385"/>
        <v>#N/A</v>
      </c>
      <c r="G568" s="70"/>
      <c r="H568" s="70"/>
      <c r="I568" s="70" t="e">
        <f t="shared" si="386"/>
        <v>#N/A</v>
      </c>
      <c r="J568" s="70"/>
      <c r="K568" s="70"/>
      <c r="L568" s="70" t="e">
        <f t="shared" si="387"/>
        <v>#N/A</v>
      </c>
      <c r="M568" s="70"/>
      <c r="N568" s="70"/>
      <c r="O568" s="70" t="e">
        <f t="shared" si="388"/>
        <v>#N/A</v>
      </c>
      <c r="P568" s="70"/>
      <c r="Q568" s="70"/>
      <c r="R568" s="70" t="e">
        <f t="shared" si="389"/>
        <v>#N/A</v>
      </c>
      <c r="S568" s="70"/>
      <c r="T568" s="70"/>
      <c r="U568" s="70" t="e">
        <f t="shared" si="390"/>
        <v>#N/A</v>
      </c>
      <c r="V568" s="70"/>
      <c r="W568" s="70"/>
      <c r="X568" s="70" t="e">
        <f t="shared" si="391"/>
        <v>#N/A</v>
      </c>
      <c r="Y568" s="70"/>
      <c r="Z568" s="70"/>
      <c r="AA568" s="70" t="e">
        <f t="shared" si="392"/>
        <v>#N/A</v>
      </c>
      <c r="AB568" s="70"/>
      <c r="AC568" s="70"/>
    </row>
    <row r="569" spans="1:29" s="2" customFormat="1">
      <c r="A569" s="70"/>
      <c r="B569" s="70"/>
      <c r="C569" s="70">
        <f t="shared" ref="C569:C576" si="394">IF($A$6,IF(D569&gt;D9,D9,D569),-4)</f>
        <v>-4</v>
      </c>
      <c r="D569" s="70">
        <f>IFERROR(AL5+SQRT($E$17^2-(AM5-E9)^2),-4)</f>
        <v>-4</v>
      </c>
      <c r="E569" s="70"/>
      <c r="F569" s="70">
        <f t="shared" ref="F569:F576" si="395">IF($A$6,IF(G569&gt;G9,G9,G569),-4)</f>
        <v>0</v>
      </c>
      <c r="G569" s="70">
        <f>IFERROR(AL5+SQRT(H$17^2-(AM5-H9)^2),-4)</f>
        <v>4.2993249620269776</v>
      </c>
      <c r="H569" s="70"/>
      <c r="I569" s="70">
        <f t="shared" ref="I569:I576" si="396">IF($A$6,IF(J569&gt;J9,J9,J569),-4)</f>
        <v>0</v>
      </c>
      <c r="J569" s="70">
        <f>IFERROR(AL5+SQRT(K$17^2-(AM5-K9)^2),-4)</f>
        <v>4.2993249620269776</v>
      </c>
      <c r="K569" s="70"/>
      <c r="L569" s="70">
        <f t="shared" ref="L569:L576" si="397">IF($A$6,IF(M569&gt;M9,M9,M569),-4)</f>
        <v>-4</v>
      </c>
      <c r="M569" s="70">
        <f>IFERROR(AL5+SQRT(N$17^2-(AM5-N9)^2),-4)</f>
        <v>-4</v>
      </c>
      <c r="N569" s="70"/>
      <c r="O569" s="70">
        <f t="shared" ref="O569:O576" si="398">IF($A$6,IF(P569&gt;P9,P9,P569),-4)</f>
        <v>-4</v>
      </c>
      <c r="P569" s="70">
        <f>IFERROR(AL5+SQRT(Q$17^2-(AM5-Q9)^2),-4)</f>
        <v>-4</v>
      </c>
      <c r="Q569" s="70"/>
      <c r="R569" s="70">
        <f t="shared" ref="R569:R576" si="399">IF($A$6,IF(S569&gt;S9,S9,S569),-4)</f>
        <v>-4</v>
      </c>
      <c r="S569" s="70">
        <f>IFERROR(AL5+SQRT(T$17^2-(AM5-T9)^2),-4)</f>
        <v>-4</v>
      </c>
      <c r="T569" s="70"/>
      <c r="U569" s="70">
        <f t="shared" ref="U569:U576" si="400">IF($A$6,IF(V569&gt;V9,V9,V569),-4)</f>
        <v>-4</v>
      </c>
      <c r="V569" s="70">
        <f>IFERROR(AL5+SQRT(W$17^2-(AM5-W9)^2),-4)</f>
        <v>-4</v>
      </c>
      <c r="W569" s="70"/>
      <c r="X569" s="70">
        <f t="shared" ref="X569:X576" si="401">IF($A$6,IF(Y569&gt;Y9,Y9,Y569),-4)</f>
        <v>-4</v>
      </c>
      <c r="Y569" s="70">
        <f>IFERROR(AL5+SQRT(Z$17^2-(AM5-Z9)^2),-4)</f>
        <v>-4</v>
      </c>
      <c r="Z569" s="70"/>
      <c r="AA569" s="70">
        <f t="shared" ref="AA569:AA576" si="402">IF($A$6,IF(AB569&gt;AB9,AB9,AB569),-4)</f>
        <v>-4</v>
      </c>
      <c r="AB569" s="70">
        <f>IFERROR(AL5+SQRT(AC$17^2-(AM5-AC9)^2),-4)</f>
        <v>-4</v>
      </c>
      <c r="AC569" s="70"/>
    </row>
    <row r="570" spans="1:29" s="2" customFormat="1">
      <c r="A570" s="70"/>
      <c r="B570" s="70" t="s">
        <v>225</v>
      </c>
      <c r="C570" s="70">
        <f t="shared" si="394"/>
        <v>-4</v>
      </c>
      <c r="D570" s="70">
        <f>IFERROR(AL5+SQRT($E$17^2-(AM5-E10)^2),-4)</f>
        <v>-4</v>
      </c>
      <c r="E570" s="70"/>
      <c r="F570" s="70">
        <f t="shared" si="395"/>
        <v>0</v>
      </c>
      <c r="G570" s="70">
        <f>IFERROR(AL5+SQRT(H$17^2-(AM5-H10)^2),-4)</f>
        <v>4.2993249620269776</v>
      </c>
      <c r="H570" s="70"/>
      <c r="I570" s="70">
        <f t="shared" si="396"/>
        <v>0</v>
      </c>
      <c r="J570" s="70">
        <f>IFERROR(AL5+SQRT(K$17^2-(AM5-K10)^2),-4)</f>
        <v>4.2993249620269776</v>
      </c>
      <c r="K570" s="70"/>
      <c r="L570" s="70">
        <f t="shared" si="397"/>
        <v>-4</v>
      </c>
      <c r="M570" s="70">
        <f>IFERROR(AL5+SQRT(N$17^2-(AM5-N10)^2),-4)</f>
        <v>-4</v>
      </c>
      <c r="N570" s="70"/>
      <c r="O570" s="70">
        <f t="shared" si="398"/>
        <v>-4</v>
      </c>
      <c r="P570" s="70">
        <f>IFERROR(AL5+SQRT(Q$17^2-(AM5-Q10)^2),-4)</f>
        <v>-4</v>
      </c>
      <c r="Q570" s="70"/>
      <c r="R570" s="70">
        <f t="shared" si="399"/>
        <v>-4</v>
      </c>
      <c r="S570" s="70">
        <f>IFERROR(AL5+SQRT(T$17^2-(AM5-T10)^2),-4)</f>
        <v>-4</v>
      </c>
      <c r="T570" s="70"/>
      <c r="U570" s="70">
        <f t="shared" si="400"/>
        <v>-4</v>
      </c>
      <c r="V570" s="70">
        <f>IFERROR(AL5+SQRT(W$17^2-(AM5-W10)^2),-4)</f>
        <v>-4</v>
      </c>
      <c r="W570" s="70"/>
      <c r="X570" s="70">
        <f t="shared" si="401"/>
        <v>-4</v>
      </c>
      <c r="Y570" s="70">
        <f>IFERROR(AL5+SQRT(Z$17^2-(AM5-Z10)^2),-4)</f>
        <v>-4</v>
      </c>
      <c r="Z570" s="70"/>
      <c r="AA570" s="70">
        <f t="shared" si="402"/>
        <v>-4</v>
      </c>
      <c r="AB570" s="70">
        <f>IFERROR(AL5+SQRT(AC$17^2-(AM5-AC10)^2),-4)</f>
        <v>-4</v>
      </c>
      <c r="AC570" s="70"/>
    </row>
    <row r="571" spans="1:29" s="2" customFormat="1">
      <c r="A571" s="70"/>
      <c r="B571" s="70"/>
      <c r="C571" s="70">
        <f t="shared" si="394"/>
        <v>-4</v>
      </c>
      <c r="D571" s="70">
        <f>IFERROR(AL5+SQRT($E$17^2-(AM5-E11)^2),-4)</f>
        <v>-4</v>
      </c>
      <c r="E571" s="70"/>
      <c r="F571" s="70">
        <f t="shared" si="395"/>
        <v>0</v>
      </c>
      <c r="G571" s="70">
        <f>IFERROR(AL5+SQRT(H$17^2-(AM5-H11)^2),-4)</f>
        <v>4.2993249620269776</v>
      </c>
      <c r="H571" s="70"/>
      <c r="I571" s="70">
        <f t="shared" si="396"/>
        <v>0</v>
      </c>
      <c r="J571" s="70">
        <f>IFERROR(AL5+SQRT(K$17^2-(AM5-K11)^2),-4)</f>
        <v>4.2993249620269776</v>
      </c>
      <c r="K571" s="70"/>
      <c r="L571" s="70">
        <f t="shared" si="397"/>
        <v>-4</v>
      </c>
      <c r="M571" s="70">
        <f>IFERROR(AL5+SQRT(N$17^2-(AM5-N11)^2),-4)</f>
        <v>-4</v>
      </c>
      <c r="N571" s="70"/>
      <c r="O571" s="70">
        <f t="shared" si="398"/>
        <v>-4</v>
      </c>
      <c r="P571" s="70">
        <f>IFERROR(AL5+SQRT(Q$17^2-(AM5-Q11)^2),-4)</f>
        <v>-4</v>
      </c>
      <c r="Q571" s="70"/>
      <c r="R571" s="70">
        <f t="shared" si="399"/>
        <v>-4</v>
      </c>
      <c r="S571" s="70">
        <f>IFERROR(AL5+SQRT(T$17^2-(AM5-T11)^2),-4)</f>
        <v>-4</v>
      </c>
      <c r="T571" s="70"/>
      <c r="U571" s="70">
        <f t="shared" si="400"/>
        <v>-4</v>
      </c>
      <c r="V571" s="70">
        <f>IFERROR(AL5+SQRT(W$17^2-(AM5-W11)^2),-4)</f>
        <v>-4</v>
      </c>
      <c r="W571" s="70"/>
      <c r="X571" s="70">
        <f t="shared" si="401"/>
        <v>-4</v>
      </c>
      <c r="Y571" s="70">
        <f>IFERROR(AL5+SQRT(Z$17^2-(AM5-Z11)^2),-4)</f>
        <v>-4</v>
      </c>
      <c r="Z571" s="70"/>
      <c r="AA571" s="70">
        <f t="shared" si="402"/>
        <v>-4</v>
      </c>
      <c r="AB571" s="70">
        <f>IFERROR(AL5+SQRT(AC$17^2-(AM5-AC11)^2),-4)</f>
        <v>-4</v>
      </c>
      <c r="AC571" s="70"/>
    </row>
    <row r="572" spans="1:29" s="2" customFormat="1">
      <c r="A572" s="70"/>
      <c r="B572" s="70"/>
      <c r="C572" s="70">
        <f t="shared" si="394"/>
        <v>-4</v>
      </c>
      <c r="D572" s="70">
        <f>IFERROR(AL5+SQRT($E$17^2-(AM5-E12)^2),-4)</f>
        <v>-4</v>
      </c>
      <c r="E572" s="70"/>
      <c r="F572" s="70">
        <f t="shared" si="395"/>
        <v>0</v>
      </c>
      <c r="G572" s="70">
        <f>IFERROR(AL5+SQRT(H$17^2-(AM5-H12)^2),-4)</f>
        <v>4.2993249620269776</v>
      </c>
      <c r="H572" s="70"/>
      <c r="I572" s="70">
        <f t="shared" si="396"/>
        <v>0</v>
      </c>
      <c r="J572" s="70">
        <f>IFERROR(AL5+SQRT(K$17^2-(AM5-K12)^2),-4)</f>
        <v>4.2993249620269776</v>
      </c>
      <c r="K572" s="70"/>
      <c r="L572" s="70">
        <f t="shared" si="397"/>
        <v>-4</v>
      </c>
      <c r="M572" s="70">
        <f>IFERROR(AL5+SQRT(N$17^2-(AM5-N12)^2),-4)</f>
        <v>-4</v>
      </c>
      <c r="N572" s="70"/>
      <c r="O572" s="70">
        <f t="shared" si="398"/>
        <v>-4</v>
      </c>
      <c r="P572" s="70">
        <f>IFERROR(AL5+SQRT(Q$17^2-(AM5-Q12)^2),-4)</f>
        <v>-4</v>
      </c>
      <c r="Q572" s="70"/>
      <c r="R572" s="70">
        <f t="shared" si="399"/>
        <v>-4</v>
      </c>
      <c r="S572" s="70">
        <f>IFERROR(AL5+SQRT(T$17^2-(AM5-T12)^2),-4)</f>
        <v>-4</v>
      </c>
      <c r="T572" s="70"/>
      <c r="U572" s="70">
        <f t="shared" si="400"/>
        <v>-4</v>
      </c>
      <c r="V572" s="70">
        <f>IFERROR(AL5+SQRT(W$17^2-(AM5-W12)^2),-4)</f>
        <v>-4</v>
      </c>
      <c r="W572" s="70"/>
      <c r="X572" s="70">
        <f t="shared" si="401"/>
        <v>-4</v>
      </c>
      <c r="Y572" s="70">
        <f>IFERROR(AL5+SQRT(Z$17^2-(AM5-Z12)^2),-4)</f>
        <v>-4</v>
      </c>
      <c r="Z572" s="70"/>
      <c r="AA572" s="70">
        <f t="shared" si="402"/>
        <v>-4</v>
      </c>
      <c r="AB572" s="70">
        <f>IFERROR(AL5+SQRT(AC$17^2-(AM5-AC12)^2),-4)</f>
        <v>-4</v>
      </c>
      <c r="AC572" s="70"/>
    </row>
    <row r="573" spans="1:29" s="2" customFormat="1">
      <c r="A573" s="70"/>
      <c r="B573" s="70"/>
      <c r="C573" s="70">
        <f t="shared" si="394"/>
        <v>-4</v>
      </c>
      <c r="D573" s="70">
        <f>IFERROR(AL5+SQRT($E$17^2-(AM5-E13)^2),-4)</f>
        <v>-4</v>
      </c>
      <c r="E573" s="70"/>
      <c r="F573" s="70">
        <f t="shared" si="395"/>
        <v>0</v>
      </c>
      <c r="G573" s="70">
        <f>IFERROR(AL5+SQRT(H$17^2-(AM5-H13)^2),-4)</f>
        <v>4.2993249620269776</v>
      </c>
      <c r="H573" s="70"/>
      <c r="I573" s="70">
        <f t="shared" si="396"/>
        <v>0</v>
      </c>
      <c r="J573" s="70">
        <f>IFERROR(AL5+SQRT(K$17^2-(AM5-K13)^2),-4)</f>
        <v>4.2993249620269776</v>
      </c>
      <c r="K573" s="70"/>
      <c r="L573" s="70">
        <f t="shared" si="397"/>
        <v>-4</v>
      </c>
      <c r="M573" s="70">
        <f>IFERROR(AL5+SQRT(N$17^2-(AM5-N13)^2),-4)</f>
        <v>-4</v>
      </c>
      <c r="N573" s="70"/>
      <c r="O573" s="70">
        <f t="shared" si="398"/>
        <v>-4</v>
      </c>
      <c r="P573" s="70">
        <f>IFERROR(AL5+SQRT(Q$17^2-(AM5-Q13)^2),-4)</f>
        <v>-4</v>
      </c>
      <c r="Q573" s="70"/>
      <c r="R573" s="70">
        <f t="shared" si="399"/>
        <v>-4</v>
      </c>
      <c r="S573" s="70">
        <f>IFERROR(AL5+SQRT(T$17^2-(AM5-T13)^2),-4)</f>
        <v>-4</v>
      </c>
      <c r="T573" s="70"/>
      <c r="U573" s="70">
        <f t="shared" si="400"/>
        <v>-4</v>
      </c>
      <c r="V573" s="70">
        <f>IFERROR(AL5+SQRT(W$17^2-(AM5-W13)^2),-4)</f>
        <v>-4</v>
      </c>
      <c r="W573" s="70"/>
      <c r="X573" s="70">
        <f t="shared" si="401"/>
        <v>-4</v>
      </c>
      <c r="Y573" s="70">
        <f>IFERROR(AL5+SQRT(Z$17^2-(AM5-Z13)^2),-4)</f>
        <v>-4</v>
      </c>
      <c r="Z573" s="70"/>
      <c r="AA573" s="70">
        <f t="shared" si="402"/>
        <v>-4</v>
      </c>
      <c r="AB573" s="70">
        <f>IFERROR(AL5+SQRT(AC$17^2-(AM5-AC13)^2),-4)</f>
        <v>-4</v>
      </c>
      <c r="AC573" s="70"/>
    </row>
    <row r="574" spans="1:29" s="2" customFormat="1">
      <c r="A574" s="70"/>
      <c r="B574" s="70"/>
      <c r="C574" s="70">
        <f t="shared" si="394"/>
        <v>-4</v>
      </c>
      <c r="D574" s="70">
        <f>IFERROR(AL5+SQRT($E$17^2-(AM5-E14)^2),-4)</f>
        <v>-4</v>
      </c>
      <c r="E574" s="70"/>
      <c r="F574" s="70">
        <f t="shared" si="395"/>
        <v>0</v>
      </c>
      <c r="G574" s="70">
        <f>IFERROR(AL5+SQRT(H$17^2-(AM5-H14)^2),-4)</f>
        <v>4.2993249620269776</v>
      </c>
      <c r="H574" s="70"/>
      <c r="I574" s="70">
        <f t="shared" si="396"/>
        <v>0</v>
      </c>
      <c r="J574" s="70">
        <f>IFERROR(AL5+SQRT(K$17^2-(AM5-K14)^2),-4)</f>
        <v>4.2993249620269776</v>
      </c>
      <c r="K574" s="70"/>
      <c r="L574" s="70">
        <f t="shared" si="397"/>
        <v>-4</v>
      </c>
      <c r="M574" s="70">
        <f>IFERROR(AL5+SQRT(N$17^2-(AM5-N14)^2),-4)</f>
        <v>-4</v>
      </c>
      <c r="N574" s="70"/>
      <c r="O574" s="70">
        <f t="shared" si="398"/>
        <v>-4</v>
      </c>
      <c r="P574" s="70">
        <f>IFERROR(AL5+SQRT(Q$17^2-(AM5-Q14)^2),-4)</f>
        <v>-4</v>
      </c>
      <c r="Q574" s="70"/>
      <c r="R574" s="70">
        <f t="shared" si="399"/>
        <v>-4</v>
      </c>
      <c r="S574" s="70">
        <f>IFERROR(AL5+SQRT(T$17^2-(AM5-T14)^2),-4)</f>
        <v>-4</v>
      </c>
      <c r="T574" s="70"/>
      <c r="U574" s="70">
        <f t="shared" si="400"/>
        <v>-4</v>
      </c>
      <c r="V574" s="70">
        <f>IFERROR(AL5+SQRT(W$17^2-(AM5-W14)^2),-4)</f>
        <v>-4</v>
      </c>
      <c r="W574" s="70"/>
      <c r="X574" s="70">
        <f t="shared" si="401"/>
        <v>-4</v>
      </c>
      <c r="Y574" s="70">
        <f>IFERROR(AL5+SQRT(Z$17^2-(AM5-Z14)^2),-4)</f>
        <v>-4</v>
      </c>
      <c r="Z574" s="70"/>
      <c r="AA574" s="70">
        <f t="shared" si="402"/>
        <v>-4</v>
      </c>
      <c r="AB574" s="70">
        <f>IFERROR(AL5+SQRT(AC$17^2-(AM5-AC14)^2),-4)</f>
        <v>-4</v>
      </c>
      <c r="AC574" s="70"/>
    </row>
    <row r="575" spans="1:29" s="2" customFormat="1">
      <c r="A575" s="70"/>
      <c r="B575" s="70"/>
      <c r="C575" s="70">
        <f t="shared" si="394"/>
        <v>-4</v>
      </c>
      <c r="D575" s="70">
        <f>IFERROR(AL5+SQRT($E$17^2-(AM5-E15)^2),-4)</f>
        <v>-4</v>
      </c>
      <c r="E575" s="70"/>
      <c r="F575" s="70">
        <f t="shared" si="395"/>
        <v>0</v>
      </c>
      <c r="G575" s="70">
        <f>IFERROR(AL5+SQRT(H$17^2-(AM5-H15)^2),-4)</f>
        <v>4.2993249620269776</v>
      </c>
      <c r="H575" s="70"/>
      <c r="I575" s="70">
        <f t="shared" si="396"/>
        <v>0</v>
      </c>
      <c r="J575" s="70">
        <f>IFERROR(AL5+SQRT(K$17^2-(AM5-K15)^2),-4)</f>
        <v>4.2993249620269776</v>
      </c>
      <c r="K575" s="70"/>
      <c r="L575" s="70">
        <f t="shared" si="397"/>
        <v>-4</v>
      </c>
      <c r="M575" s="70">
        <f>IFERROR(AL5+SQRT(N$17^2-(AM5-N15)^2),-4)</f>
        <v>-4</v>
      </c>
      <c r="N575" s="70"/>
      <c r="O575" s="70">
        <f t="shared" si="398"/>
        <v>-4</v>
      </c>
      <c r="P575" s="70">
        <f>IFERROR(AL5+SQRT(Q$17^2-(AM5-Q15)^2),-4)</f>
        <v>-4</v>
      </c>
      <c r="Q575" s="70"/>
      <c r="R575" s="70">
        <f t="shared" si="399"/>
        <v>-4</v>
      </c>
      <c r="S575" s="70">
        <f>IFERROR(AL5+SQRT(T$17^2-(AM5-T15)^2),-4)</f>
        <v>-4</v>
      </c>
      <c r="T575" s="70"/>
      <c r="U575" s="70">
        <f t="shared" si="400"/>
        <v>-4</v>
      </c>
      <c r="V575" s="70">
        <f>IFERROR(AL5+SQRT(W$17^2-(AM5-W15)^2),-4)</f>
        <v>-4</v>
      </c>
      <c r="W575" s="70"/>
      <c r="X575" s="70">
        <f t="shared" si="401"/>
        <v>-4</v>
      </c>
      <c r="Y575" s="70">
        <f>IFERROR(AL5+SQRT(Z$17^2-(AM5-Z15)^2),-4)</f>
        <v>-4</v>
      </c>
      <c r="Z575" s="70"/>
      <c r="AA575" s="70">
        <f t="shared" si="402"/>
        <v>-4</v>
      </c>
      <c r="AB575" s="70">
        <f>IFERROR(AL5+SQRT(AC$17^2-(AM5-AC15)^2),-4)</f>
        <v>-4</v>
      </c>
      <c r="AC575" s="70"/>
    </row>
    <row r="576" spans="1:29" s="2" customFormat="1">
      <c r="A576" s="70"/>
      <c r="B576" s="70"/>
      <c r="C576" s="70">
        <f t="shared" si="394"/>
        <v>-4</v>
      </c>
      <c r="D576" s="70">
        <f>IFERROR(AL5+SQRT($E$17^2-(AM5-E16)^2),-4)</f>
        <v>-4</v>
      </c>
      <c r="E576" s="70"/>
      <c r="F576" s="70">
        <f t="shared" si="395"/>
        <v>0</v>
      </c>
      <c r="G576" s="70">
        <f>IFERROR(AL5+SQRT(H$17^2-(AM5-H16)^2),-4)</f>
        <v>4.2993249620269776</v>
      </c>
      <c r="H576" s="70"/>
      <c r="I576" s="70">
        <f t="shared" si="396"/>
        <v>0</v>
      </c>
      <c r="J576" s="70">
        <f>IFERROR(AL5+SQRT(K$17^2-(AM5-K16)^2),-4)</f>
        <v>4.2993249620269776</v>
      </c>
      <c r="K576" s="70"/>
      <c r="L576" s="70">
        <f t="shared" si="397"/>
        <v>-4</v>
      </c>
      <c r="M576" s="70">
        <f>IFERROR(AL5+SQRT(N$17^2-(AM5-N16)^2),-4)</f>
        <v>-4</v>
      </c>
      <c r="N576" s="70"/>
      <c r="O576" s="70">
        <f t="shared" si="398"/>
        <v>-4</v>
      </c>
      <c r="P576" s="70">
        <f>IFERROR(AL5+SQRT(Q$17^2-(AM5-Q16)^2),-4)</f>
        <v>-4</v>
      </c>
      <c r="Q576" s="70"/>
      <c r="R576" s="70">
        <f t="shared" si="399"/>
        <v>-4</v>
      </c>
      <c r="S576" s="70">
        <f>IFERROR(AL5+SQRT(T$17^2-(AM5-T16)^2),-4)</f>
        <v>-4</v>
      </c>
      <c r="T576" s="70"/>
      <c r="U576" s="70">
        <f t="shared" si="400"/>
        <v>-4</v>
      </c>
      <c r="V576" s="70">
        <f>IFERROR(AL5+SQRT(W$17^2-(AM5-W16)^2),-4)</f>
        <v>-4</v>
      </c>
      <c r="W576" s="70"/>
      <c r="X576" s="70">
        <f t="shared" si="401"/>
        <v>-4</v>
      </c>
      <c r="Y576" s="70">
        <f>IFERROR(AL5+SQRT(Z$17^2-(AM5-Z16)^2),-4)</f>
        <v>-4</v>
      </c>
      <c r="Z576" s="70"/>
      <c r="AA576" s="70">
        <f t="shared" si="402"/>
        <v>-4</v>
      </c>
      <c r="AB576" s="70">
        <f>IFERROR(AL5+SQRT(AC$17^2-(AM5-AC16)^2),-4)</f>
        <v>-4</v>
      </c>
      <c r="AC576" s="70"/>
    </row>
    <row r="577" spans="1:29" s="2" customFormat="1">
      <c r="A577" s="70"/>
      <c r="B577" s="70"/>
      <c r="C577" s="70">
        <f t="shared" ref="C577:C584" si="403">IF($A$9,IF(D577&gt;D9,D9,D577),-4)</f>
        <v>-4</v>
      </c>
      <c r="D577" s="70">
        <f>IFERROR(AL5+SQRT($E$17^2-(AM6-E9)^2),-4)</f>
        <v>-4</v>
      </c>
      <c r="E577" s="70"/>
      <c r="F577" s="70">
        <f t="shared" ref="F577:F584" si="404">IF($A$9,IF(G577&gt;G9,G9,G577),-4)</f>
        <v>0</v>
      </c>
      <c r="G577" s="70">
        <f>IFERROR(AL5+SQRT(H$17^2-(AM6-H9)^2),-4)</f>
        <v>2.67125840004912</v>
      </c>
      <c r="H577" s="70"/>
      <c r="I577" s="70">
        <f t="shared" ref="I577:I584" si="405">IF($A$9,IF(J577&gt;J9,J9,J577),-4)</f>
        <v>0</v>
      </c>
      <c r="J577" s="70">
        <f>IFERROR(AL5+SQRT(K$17^2-(AM6-K9)^2),-4)</f>
        <v>2.67125840004912</v>
      </c>
      <c r="K577" s="70"/>
      <c r="L577" s="70">
        <f t="shared" ref="L577:L584" si="406">IF($A$9,IF(M577&gt;M9,M9,M577),-4)</f>
        <v>-4</v>
      </c>
      <c r="M577" s="70">
        <f>IFERROR(AL5+SQRT(N$17^2-(AM6-N9)^2),-4)</f>
        <v>-4</v>
      </c>
      <c r="N577" s="70"/>
      <c r="O577" s="70">
        <f t="shared" ref="O577:O584" si="407">IF($A$9,IF(P577&gt;P9,P9,P577),-4)</f>
        <v>-4</v>
      </c>
      <c r="P577" s="70">
        <f>IFERROR(AL5+SQRT(Q$17^2-(AM6-Q9)^2),-4)</f>
        <v>-4</v>
      </c>
      <c r="Q577" s="70"/>
      <c r="R577" s="70">
        <f t="shared" ref="R577:R584" si="408">IF($A$9,IF(S577&gt;S9,S9,S577),-4)</f>
        <v>-4</v>
      </c>
      <c r="S577" s="70">
        <f>IFERROR(AL5+SQRT(T$17^2-(AM6-T9)^2),-4)</f>
        <v>-4</v>
      </c>
      <c r="T577" s="70"/>
      <c r="U577" s="70">
        <f t="shared" ref="U577:U584" si="409">IF($A$9,IF(V577&gt;V9,V9,V577),-4)</f>
        <v>-4</v>
      </c>
      <c r="V577" s="70">
        <f>IFERROR(AL5+SQRT(W$17^2-(AM6-W9)^2),-4)</f>
        <v>-4</v>
      </c>
      <c r="W577" s="70"/>
      <c r="X577" s="70">
        <f t="shared" ref="X577:X584" si="410">IF($A$9,IF(Y577&gt;Y9,Y9,Y577),-4)</f>
        <v>-4</v>
      </c>
      <c r="Y577" s="70">
        <f>IFERROR(AL5+SQRT(Z$17^2-(AM6-Z9)^2),-4)</f>
        <v>-4</v>
      </c>
      <c r="Z577" s="70"/>
      <c r="AA577" s="70">
        <f t="shared" ref="AA577:AA584" si="411">IF($A$9,IF(AB577&gt;AB9,AB9,AB577),-4)</f>
        <v>-4</v>
      </c>
      <c r="AB577" s="70">
        <f>IFERROR(AL5+SQRT(AC$17^2-(AM6-AC9)^2),-4)</f>
        <v>-4</v>
      </c>
      <c r="AC577" s="70"/>
    </row>
    <row r="578" spans="1:29" s="2" customFormat="1">
      <c r="A578" s="70"/>
      <c r="B578" s="70" t="s">
        <v>226</v>
      </c>
      <c r="C578" s="70">
        <f t="shared" si="403"/>
        <v>-4</v>
      </c>
      <c r="D578" s="70">
        <f>IFERROR(AL5+SQRT($E$17^2-(AM6-E10)^2),-4)</f>
        <v>-4</v>
      </c>
      <c r="E578" s="70"/>
      <c r="F578" s="70">
        <f t="shared" si="404"/>
        <v>0</v>
      </c>
      <c r="G578" s="70">
        <f>IFERROR(AL5+SQRT(H$17^2-(AM6-H10)^2),-4)</f>
        <v>2.67125840004912</v>
      </c>
      <c r="H578" s="70"/>
      <c r="I578" s="70">
        <f t="shared" si="405"/>
        <v>0</v>
      </c>
      <c r="J578" s="70">
        <f>IFERROR(AL5+SQRT(K$17^2-(AM6-K10)^2),-4)</f>
        <v>2.67125840004912</v>
      </c>
      <c r="K578" s="70"/>
      <c r="L578" s="70">
        <f t="shared" si="406"/>
        <v>-4</v>
      </c>
      <c r="M578" s="70">
        <f>IFERROR(AL5+SQRT(N$17^2-(AM6-N10)^2),-4)</f>
        <v>-4</v>
      </c>
      <c r="N578" s="70"/>
      <c r="O578" s="70">
        <f t="shared" si="407"/>
        <v>-4</v>
      </c>
      <c r="P578" s="70">
        <f>IFERROR(AL5+SQRT(Q$17^2-(AM6-Q10)^2),-4)</f>
        <v>-4</v>
      </c>
      <c r="Q578" s="70"/>
      <c r="R578" s="70">
        <f t="shared" si="408"/>
        <v>-4</v>
      </c>
      <c r="S578" s="70">
        <f>IFERROR(AL5+SQRT(T$17^2-(AM6-T10)^2),-4)</f>
        <v>-4</v>
      </c>
      <c r="T578" s="70"/>
      <c r="U578" s="70">
        <f t="shared" si="409"/>
        <v>-4</v>
      </c>
      <c r="V578" s="70">
        <f>IFERROR(AL5+SQRT(W$17^2-(AM6-W10)^2),-4)</f>
        <v>-4</v>
      </c>
      <c r="W578" s="70"/>
      <c r="X578" s="70">
        <f t="shared" si="410"/>
        <v>-4</v>
      </c>
      <c r="Y578" s="70">
        <f>IFERROR(AL5+SQRT(Z$17^2-(AM6-Z10)^2),-4)</f>
        <v>-4</v>
      </c>
      <c r="Z578" s="70"/>
      <c r="AA578" s="70">
        <f t="shared" si="411"/>
        <v>-4</v>
      </c>
      <c r="AB578" s="70">
        <f>IFERROR(AL5+SQRT(AC$17^2-(AM6-AC10)^2),-4)</f>
        <v>-4</v>
      </c>
      <c r="AC578" s="70"/>
    </row>
    <row r="579" spans="1:29" s="2" customFormat="1">
      <c r="A579" s="70"/>
      <c r="B579" s="70"/>
      <c r="C579" s="70">
        <f t="shared" si="403"/>
        <v>-4</v>
      </c>
      <c r="D579" s="70">
        <f>IFERROR(AL5+SQRT($E$17^2-(AM6-E11)^2),-4)</f>
        <v>-4</v>
      </c>
      <c r="E579" s="70"/>
      <c r="F579" s="70">
        <f t="shared" si="404"/>
        <v>0</v>
      </c>
      <c r="G579" s="70">
        <f>IFERROR(AL5+SQRT(H$17^2-(AM6-H11)^2),-4)</f>
        <v>2.67125840004912</v>
      </c>
      <c r="H579" s="70"/>
      <c r="I579" s="70">
        <f t="shared" si="405"/>
        <v>0</v>
      </c>
      <c r="J579" s="70">
        <f>IFERROR(AL5+SQRT(K$17^2-(AM6-K11)^2),-4)</f>
        <v>2.67125840004912</v>
      </c>
      <c r="K579" s="70"/>
      <c r="L579" s="70">
        <f t="shared" si="406"/>
        <v>-4</v>
      </c>
      <c r="M579" s="70">
        <f>IFERROR(AL5+SQRT(N$17^2-(AM6-N11)^2),-4)</f>
        <v>-4</v>
      </c>
      <c r="N579" s="70"/>
      <c r="O579" s="70">
        <f t="shared" si="407"/>
        <v>-4</v>
      </c>
      <c r="P579" s="70">
        <f>IFERROR(AL5+SQRT(Q$17^2-(AM6-Q11)^2),-4)</f>
        <v>-4</v>
      </c>
      <c r="Q579" s="70"/>
      <c r="R579" s="70">
        <f t="shared" si="408"/>
        <v>-4</v>
      </c>
      <c r="S579" s="70">
        <f>IFERROR(AL5+SQRT(T$17^2-(AM6-T11)^2),-4)</f>
        <v>-4</v>
      </c>
      <c r="T579" s="70"/>
      <c r="U579" s="70">
        <f t="shared" si="409"/>
        <v>-4</v>
      </c>
      <c r="V579" s="70">
        <f>IFERROR(AL5+SQRT(W$17^2-(AM6-W11)^2),-4)</f>
        <v>-4</v>
      </c>
      <c r="W579" s="70"/>
      <c r="X579" s="70">
        <f t="shared" si="410"/>
        <v>-4</v>
      </c>
      <c r="Y579" s="70">
        <f>IFERROR(AL5+SQRT(Z$17^2-(AM6-Z11)^2),-4)</f>
        <v>-4</v>
      </c>
      <c r="Z579" s="70"/>
      <c r="AA579" s="70">
        <f t="shared" si="411"/>
        <v>-4</v>
      </c>
      <c r="AB579" s="70">
        <f>IFERROR(AL5+SQRT(AC$17^2-(AM6-AC11)^2),-4)</f>
        <v>-4</v>
      </c>
      <c r="AC579" s="70"/>
    </row>
    <row r="580" spans="1:29" s="2" customFormat="1">
      <c r="A580" s="70"/>
      <c r="B580" s="70"/>
      <c r="C580" s="70">
        <f t="shared" si="403"/>
        <v>-4</v>
      </c>
      <c r="D580" s="70">
        <f>IFERROR(AL5+SQRT($E$17^2-(AM6-E12)^2),-4)</f>
        <v>-4</v>
      </c>
      <c r="E580" s="70"/>
      <c r="F580" s="70">
        <f t="shared" si="404"/>
        <v>0</v>
      </c>
      <c r="G580" s="70">
        <f>IFERROR(AL5+SQRT(H$17^2-(AM6-H12)^2),-4)</f>
        <v>2.67125840004912</v>
      </c>
      <c r="H580" s="70"/>
      <c r="I580" s="70">
        <f t="shared" si="405"/>
        <v>0</v>
      </c>
      <c r="J580" s="70">
        <f>IFERROR(AL5+SQRT(K$17^2-(AM6-K12)^2),-4)</f>
        <v>2.67125840004912</v>
      </c>
      <c r="K580" s="70"/>
      <c r="L580" s="70">
        <f t="shared" si="406"/>
        <v>-4</v>
      </c>
      <c r="M580" s="70">
        <f>IFERROR(AL5+SQRT(N$17^2-(AM6-N12)^2),-4)</f>
        <v>-4</v>
      </c>
      <c r="N580" s="70"/>
      <c r="O580" s="70">
        <f t="shared" si="407"/>
        <v>-4</v>
      </c>
      <c r="P580" s="70">
        <f>IFERROR(AL5+SQRT(Q$17^2-(AM6-Q12)^2),-4)</f>
        <v>-4</v>
      </c>
      <c r="Q580" s="70"/>
      <c r="R580" s="70">
        <f t="shared" si="408"/>
        <v>-4</v>
      </c>
      <c r="S580" s="70">
        <f>IFERROR(AL5+SQRT(T$17^2-(AM6-T12)^2),-4)</f>
        <v>-4</v>
      </c>
      <c r="T580" s="70"/>
      <c r="U580" s="70">
        <f t="shared" si="409"/>
        <v>-4</v>
      </c>
      <c r="V580" s="70">
        <f>IFERROR(AL5+SQRT(W$17^2-(AM6-W12)^2),-4)</f>
        <v>-4</v>
      </c>
      <c r="W580" s="70"/>
      <c r="X580" s="70">
        <f t="shared" si="410"/>
        <v>-4</v>
      </c>
      <c r="Y580" s="70">
        <f>IFERROR(AL5+SQRT(Z$17^2-(AM6-Z12)^2),-4)</f>
        <v>-4</v>
      </c>
      <c r="Z580" s="70"/>
      <c r="AA580" s="70">
        <f t="shared" si="411"/>
        <v>-4</v>
      </c>
      <c r="AB580" s="70">
        <f>IFERROR(AL5+SQRT(AC$17^2-(AM6-AC12)^2),-4)</f>
        <v>-4</v>
      </c>
      <c r="AC580" s="70"/>
    </row>
    <row r="581" spans="1:29" s="2" customFormat="1">
      <c r="A581" s="70"/>
      <c r="B581" s="70"/>
      <c r="C581" s="70">
        <f t="shared" si="403"/>
        <v>-4</v>
      </c>
      <c r="D581" s="70">
        <f>IFERROR(AL5+SQRT($E$17^2-(AM6-E13)^2),-4)</f>
        <v>-4</v>
      </c>
      <c r="E581" s="70"/>
      <c r="F581" s="70">
        <f t="shared" si="404"/>
        <v>0</v>
      </c>
      <c r="G581" s="70">
        <f>IFERROR(AL5+SQRT(H$17^2-(AM6-H13)^2),-4)</f>
        <v>2.67125840004912</v>
      </c>
      <c r="H581" s="70"/>
      <c r="I581" s="70">
        <f t="shared" si="405"/>
        <v>0</v>
      </c>
      <c r="J581" s="70">
        <f>IFERROR(AL5+SQRT(K$17^2-(AM6-K13)^2),-4)</f>
        <v>2.67125840004912</v>
      </c>
      <c r="K581" s="70"/>
      <c r="L581" s="70">
        <f t="shared" si="406"/>
        <v>-4</v>
      </c>
      <c r="M581" s="70">
        <f>IFERROR(AL5+SQRT(N$17^2-(AM6-N13)^2),-4)</f>
        <v>-4</v>
      </c>
      <c r="N581" s="70"/>
      <c r="O581" s="70">
        <f t="shared" si="407"/>
        <v>-4</v>
      </c>
      <c r="P581" s="70">
        <f>IFERROR(AL5+SQRT(Q$17^2-(AM6-Q13)^2),-4)</f>
        <v>-4</v>
      </c>
      <c r="Q581" s="70"/>
      <c r="R581" s="70">
        <f t="shared" si="408"/>
        <v>-4</v>
      </c>
      <c r="S581" s="70">
        <f>IFERROR(AL5+SQRT(T$17^2-(AM6-T13)^2),-4)</f>
        <v>-4</v>
      </c>
      <c r="T581" s="70"/>
      <c r="U581" s="70">
        <f t="shared" si="409"/>
        <v>-4</v>
      </c>
      <c r="V581" s="70">
        <f>IFERROR(AL5+SQRT(W$17^2-(AM6-W13)^2),-4)</f>
        <v>-4</v>
      </c>
      <c r="W581" s="70"/>
      <c r="X581" s="70">
        <f t="shared" si="410"/>
        <v>-4</v>
      </c>
      <c r="Y581" s="70">
        <f>IFERROR(AL5+SQRT(Z$17^2-(AM6-Z13)^2),-4)</f>
        <v>-4</v>
      </c>
      <c r="Z581" s="70"/>
      <c r="AA581" s="70">
        <f t="shared" si="411"/>
        <v>-4</v>
      </c>
      <c r="AB581" s="70">
        <f>IFERROR(AL5+SQRT(AC$17^2-(AM6-AC13)^2),-4)</f>
        <v>-4</v>
      </c>
      <c r="AC581" s="70"/>
    </row>
    <row r="582" spans="1:29" s="2" customFormat="1">
      <c r="A582" s="70"/>
      <c r="B582" s="70"/>
      <c r="C582" s="70">
        <f t="shared" si="403"/>
        <v>-4</v>
      </c>
      <c r="D582" s="70">
        <f>IFERROR(AL5+SQRT($E$17^2-(AM6-E14)^2),-4)</f>
        <v>-4</v>
      </c>
      <c r="E582" s="70"/>
      <c r="F582" s="70">
        <f t="shared" si="404"/>
        <v>0</v>
      </c>
      <c r="G582" s="70">
        <f>IFERROR(AL5+SQRT(H$17^2-(AM6-H14)^2),-4)</f>
        <v>2.67125840004912</v>
      </c>
      <c r="H582" s="70"/>
      <c r="I582" s="70">
        <f t="shared" si="405"/>
        <v>0</v>
      </c>
      <c r="J582" s="70">
        <f>IFERROR(AL5+SQRT(K$17^2-(AM6-K14)^2),-4)</f>
        <v>2.67125840004912</v>
      </c>
      <c r="K582" s="70"/>
      <c r="L582" s="70">
        <f t="shared" si="406"/>
        <v>-4</v>
      </c>
      <c r="M582" s="70">
        <f>IFERROR(AL5+SQRT(N$17^2-(AM6-N14)^2),-4)</f>
        <v>-4</v>
      </c>
      <c r="N582" s="70"/>
      <c r="O582" s="70">
        <f t="shared" si="407"/>
        <v>-4</v>
      </c>
      <c r="P582" s="70">
        <f>IFERROR(AL5+SQRT(Q$17^2-(AM6-Q14)^2),-4)</f>
        <v>-4</v>
      </c>
      <c r="Q582" s="70"/>
      <c r="R582" s="70">
        <f t="shared" si="408"/>
        <v>-4</v>
      </c>
      <c r="S582" s="70">
        <f>IFERROR(AL5+SQRT(T$17^2-(AM6-T14)^2),-4)</f>
        <v>-4</v>
      </c>
      <c r="T582" s="70"/>
      <c r="U582" s="70">
        <f t="shared" si="409"/>
        <v>-4</v>
      </c>
      <c r="V582" s="70">
        <f>IFERROR(AL5+SQRT(W$17^2-(AM6-W14)^2),-4)</f>
        <v>-4</v>
      </c>
      <c r="W582" s="70"/>
      <c r="X582" s="70">
        <f t="shared" si="410"/>
        <v>-4</v>
      </c>
      <c r="Y582" s="70">
        <f>IFERROR(AL5+SQRT(Z$17^2-(AM6-Z14)^2),-4)</f>
        <v>-4</v>
      </c>
      <c r="Z582" s="70"/>
      <c r="AA582" s="70">
        <f t="shared" si="411"/>
        <v>-4</v>
      </c>
      <c r="AB582" s="70">
        <f>IFERROR(AL5+SQRT(AC$17^2-(AM6-AC14)^2),-4)</f>
        <v>-4</v>
      </c>
      <c r="AC582" s="70"/>
    </row>
    <row r="583" spans="1:29" s="2" customFormat="1">
      <c r="A583" s="70"/>
      <c r="B583" s="70"/>
      <c r="C583" s="70">
        <f t="shared" si="403"/>
        <v>-4</v>
      </c>
      <c r="D583" s="70">
        <f>IFERROR(AL5+SQRT($E$17^2-(AM6-E15)^2),-4)</f>
        <v>-4</v>
      </c>
      <c r="E583" s="70"/>
      <c r="F583" s="70">
        <f t="shared" si="404"/>
        <v>0</v>
      </c>
      <c r="G583" s="70">
        <f>IFERROR(AL5+SQRT(H$17^2-(AM6-H15)^2),-4)</f>
        <v>2.67125840004912</v>
      </c>
      <c r="H583" s="70"/>
      <c r="I583" s="70">
        <f t="shared" si="405"/>
        <v>0</v>
      </c>
      <c r="J583" s="70">
        <f>IFERROR(AL5+SQRT(K$17^2-(AM6-K15)^2),-4)</f>
        <v>2.67125840004912</v>
      </c>
      <c r="K583" s="70"/>
      <c r="L583" s="70">
        <f t="shared" si="406"/>
        <v>-4</v>
      </c>
      <c r="M583" s="70">
        <f>IFERROR(AL5+SQRT(N$17^2-(AM6-N15)^2),-4)</f>
        <v>-4</v>
      </c>
      <c r="N583" s="70"/>
      <c r="O583" s="70">
        <f t="shared" si="407"/>
        <v>-4</v>
      </c>
      <c r="P583" s="70">
        <f>IFERROR(AL5+SQRT(Q$17^2-(AM6-Q15)^2),-4)</f>
        <v>-4</v>
      </c>
      <c r="Q583" s="70"/>
      <c r="R583" s="70">
        <f t="shared" si="408"/>
        <v>-4</v>
      </c>
      <c r="S583" s="70">
        <f>IFERROR(AL5+SQRT(T$17^2-(AM6-T15)^2),-4)</f>
        <v>-4</v>
      </c>
      <c r="T583" s="70"/>
      <c r="U583" s="70">
        <f t="shared" si="409"/>
        <v>-4</v>
      </c>
      <c r="V583" s="70">
        <f>IFERROR(AL5+SQRT(W$17^2-(AM6-W15)^2),-4)</f>
        <v>-4</v>
      </c>
      <c r="W583" s="70"/>
      <c r="X583" s="70">
        <f t="shared" si="410"/>
        <v>-4</v>
      </c>
      <c r="Y583" s="70">
        <f>IFERROR(AL5+SQRT(Z$17^2-(AM6-Z15)^2),-4)</f>
        <v>-4</v>
      </c>
      <c r="Z583" s="70"/>
      <c r="AA583" s="70">
        <f t="shared" si="411"/>
        <v>-4</v>
      </c>
      <c r="AB583" s="70">
        <f>IFERROR(AL5+SQRT(AC$17^2-(AM6-AC15)^2),-4)</f>
        <v>-4</v>
      </c>
      <c r="AC583" s="70"/>
    </row>
    <row r="584" spans="1:29" s="2" customFormat="1">
      <c r="A584" s="70"/>
      <c r="B584" s="70"/>
      <c r="C584" s="70">
        <f t="shared" si="403"/>
        <v>-4</v>
      </c>
      <c r="D584" s="70">
        <f>IFERROR(AL5+SQRT($E$17^2-(AM6-E16)^2),-4)</f>
        <v>-4</v>
      </c>
      <c r="E584" s="70"/>
      <c r="F584" s="70">
        <f t="shared" si="404"/>
        <v>0</v>
      </c>
      <c r="G584" s="70">
        <f>IFERROR(AL5+SQRT(H$17^2-(AM6-H16)^2),-4)</f>
        <v>2.67125840004912</v>
      </c>
      <c r="H584" s="70"/>
      <c r="I584" s="70">
        <f t="shared" si="405"/>
        <v>0</v>
      </c>
      <c r="J584" s="70">
        <f>IFERROR(AL5+SQRT(K$17^2-(AM6-K16)^2),-4)</f>
        <v>2.67125840004912</v>
      </c>
      <c r="K584" s="70"/>
      <c r="L584" s="70">
        <f t="shared" si="406"/>
        <v>-4</v>
      </c>
      <c r="M584" s="70">
        <f>IFERROR(AL5+SQRT(N$17^2-(AM6-N16)^2),-4)</f>
        <v>-4</v>
      </c>
      <c r="N584" s="70"/>
      <c r="O584" s="70">
        <f t="shared" si="407"/>
        <v>-4</v>
      </c>
      <c r="P584" s="70">
        <f>IFERROR(AL5+SQRT(Q$17^2-(AM6-Q16)^2),-4)</f>
        <v>-4</v>
      </c>
      <c r="Q584" s="70"/>
      <c r="R584" s="70">
        <f t="shared" si="408"/>
        <v>-4</v>
      </c>
      <c r="S584" s="70">
        <f>IFERROR(AL5+SQRT(T$17^2-(AM6-T16)^2),-4)</f>
        <v>-4</v>
      </c>
      <c r="T584" s="70"/>
      <c r="U584" s="70">
        <f t="shared" si="409"/>
        <v>-4</v>
      </c>
      <c r="V584" s="70">
        <f>IFERROR(AL5+SQRT(W$17^2-(AM6-W16)^2),-4)</f>
        <v>-4</v>
      </c>
      <c r="W584" s="70"/>
      <c r="X584" s="70">
        <f t="shared" si="410"/>
        <v>-4</v>
      </c>
      <c r="Y584" s="70">
        <f>IFERROR(AL5+SQRT(Z$17^2-(AM6-Z16)^2),-4)</f>
        <v>-4</v>
      </c>
      <c r="Z584" s="70"/>
      <c r="AA584" s="70">
        <f t="shared" si="411"/>
        <v>-4</v>
      </c>
      <c r="AB584" s="70">
        <f>IFERROR(AL5+SQRT(AC$17^2-(AM6-AC16)^2),-4)</f>
        <v>-4</v>
      </c>
      <c r="AC584" s="70"/>
    </row>
    <row r="585" spans="1:29" s="2" customFormat="1">
      <c r="A585" s="70"/>
      <c r="B585" s="70"/>
      <c r="C585" s="70">
        <f t="shared" ref="C585:C592" si="412">IF($A$12,IF(D585&gt;D9,D9,D585),-4)</f>
        <v>-4</v>
      </c>
      <c r="D585" s="70">
        <f>IFERROR(AL5+SQRT($E$17^2-(AM7-E9)^2),-4)</f>
        <v>-4</v>
      </c>
      <c r="E585" s="70"/>
      <c r="F585" s="70">
        <f t="shared" ref="F585:F592" si="413">IF($A$12,IF(G585&gt;G9,G9,G585),-4)</f>
        <v>-4</v>
      </c>
      <c r="G585" s="70">
        <f>IFERROR(AL5+SQRT(H$17^2-(AM7-H9)^2),-4)</f>
        <v>-4</v>
      </c>
      <c r="H585" s="70"/>
      <c r="I585" s="70">
        <f t="shared" ref="I585:I592" si="414">IF($A$12,IF(J585&gt;J9,J9,J585),-4)</f>
        <v>-4</v>
      </c>
      <c r="J585" s="70">
        <f>IFERROR(AL5+SQRT(K$17^2-(AM7-K9)^2),-4)</f>
        <v>-4</v>
      </c>
      <c r="K585" s="70"/>
      <c r="L585" s="70">
        <f t="shared" ref="L585:L592" si="415">IF($A$12,IF(M585&gt;M9,M9,M585),-4)</f>
        <v>-4</v>
      </c>
      <c r="M585" s="70">
        <f>IFERROR(AL5+SQRT(N$17^2-(AM7-N9)^2),-4)</f>
        <v>-4</v>
      </c>
      <c r="N585" s="70"/>
      <c r="O585" s="70">
        <f t="shared" ref="O585:O592" si="416">IF($A$12,IF(P585&gt;P9,P9,P585),-4)</f>
        <v>-4</v>
      </c>
      <c r="P585" s="70">
        <f>IFERROR(AL5+SQRT(Q$17^2-(AM7-Q9)^2),-4)</f>
        <v>-4</v>
      </c>
      <c r="Q585" s="70"/>
      <c r="R585" s="70">
        <f t="shared" ref="R585:R592" si="417">IF($A$12,IF(S585&gt;S9,S9,S585),-4)</f>
        <v>-4</v>
      </c>
      <c r="S585" s="70">
        <f>IFERROR(AL5+SQRT(T$17^2-(AM7-T9)^2),-4)</f>
        <v>-4</v>
      </c>
      <c r="T585" s="70"/>
      <c r="U585" s="70">
        <f t="shared" ref="U585:U592" si="418">IF($A$12,IF(V585&gt;V9,V9,V585),-4)</f>
        <v>-4</v>
      </c>
      <c r="V585" s="70">
        <f>IFERROR(AL5+SQRT(W$17^2-(AM7-W9)^2),-4)</f>
        <v>-4</v>
      </c>
      <c r="W585" s="70"/>
      <c r="X585" s="70">
        <f t="shared" ref="X585:X592" si="419">IF($A$12,IF(Y585&gt;Y9,Y9,Y585),-4)</f>
        <v>-4</v>
      </c>
      <c r="Y585" s="70">
        <f>IFERROR(AL5+SQRT(Z$17^2-(AM7-Z9)^2),-4)</f>
        <v>-4</v>
      </c>
      <c r="Z585" s="70"/>
      <c r="AA585" s="70">
        <f t="shared" ref="AA585:AA592" si="420">IF($A$12,IF(AB585&gt;AB9,AB9,AB585),-4)</f>
        <v>-4</v>
      </c>
      <c r="AB585" s="70">
        <f>IFERROR(AL5+SQRT(AC$17^2-(AM7-AC9)^2),-4)</f>
        <v>-4</v>
      </c>
      <c r="AC585" s="70"/>
    </row>
    <row r="586" spans="1:29" s="2" customFormat="1">
      <c r="A586" s="70"/>
      <c r="B586" s="70" t="s">
        <v>227</v>
      </c>
      <c r="C586" s="70">
        <f t="shared" si="412"/>
        <v>-4</v>
      </c>
      <c r="D586" s="70">
        <f>IFERROR(AL5+SQRT($E$17^2-(AM7-E10)^2),-4)</f>
        <v>-4</v>
      </c>
      <c r="E586" s="70"/>
      <c r="F586" s="70">
        <f t="shared" si="413"/>
        <v>-4</v>
      </c>
      <c r="G586" s="70">
        <f>IFERROR(AL5+SQRT(H$17^2-(AM7-H10)^2),-4)</f>
        <v>-4</v>
      </c>
      <c r="H586" s="70"/>
      <c r="I586" s="70">
        <f t="shared" si="414"/>
        <v>-4</v>
      </c>
      <c r="J586" s="70">
        <f>IFERROR(AL5+SQRT(K$17^2-(AM7-K10)^2),-4)</f>
        <v>-4</v>
      </c>
      <c r="K586" s="70"/>
      <c r="L586" s="70">
        <f t="shared" si="415"/>
        <v>-4</v>
      </c>
      <c r="M586" s="70">
        <f>IFERROR(AL5+SQRT(N$17^2-(AM7-N10)^2),-4)</f>
        <v>-4</v>
      </c>
      <c r="N586" s="70"/>
      <c r="O586" s="70">
        <f t="shared" si="416"/>
        <v>-4</v>
      </c>
      <c r="P586" s="70">
        <f>IFERROR(AL5+SQRT(Q$17^2-(AM7-Q10)^2),-4)</f>
        <v>-4</v>
      </c>
      <c r="Q586" s="70"/>
      <c r="R586" s="70">
        <f t="shared" si="417"/>
        <v>-4</v>
      </c>
      <c r="S586" s="70">
        <f>IFERROR(AL5+SQRT(T$17^2-(AM7-T10)^2),-4)</f>
        <v>-4</v>
      </c>
      <c r="T586" s="70"/>
      <c r="U586" s="70">
        <f t="shared" si="418"/>
        <v>-4</v>
      </c>
      <c r="V586" s="70">
        <f>IFERROR(AL5+SQRT(W$17^2-(AM7-W10)^2),-4)</f>
        <v>-4</v>
      </c>
      <c r="W586" s="70"/>
      <c r="X586" s="70">
        <f t="shared" si="419"/>
        <v>-4</v>
      </c>
      <c r="Y586" s="70">
        <f>IFERROR(AL5+SQRT(Z$17^2-(AM7-Z10)^2),-4)</f>
        <v>-4</v>
      </c>
      <c r="Z586" s="70"/>
      <c r="AA586" s="70">
        <f t="shared" si="420"/>
        <v>-4</v>
      </c>
      <c r="AB586" s="70">
        <f>IFERROR(AL5+SQRT(AC$17^2-(AM7-AC10)^2),-4)</f>
        <v>-4</v>
      </c>
      <c r="AC586" s="70"/>
    </row>
    <row r="587" spans="1:29" s="2" customFormat="1">
      <c r="A587" s="70"/>
      <c r="B587" s="70"/>
      <c r="C587" s="70">
        <f t="shared" si="412"/>
        <v>-4</v>
      </c>
      <c r="D587" s="70">
        <f>IFERROR(AL5+SQRT($E$17^2-(AM7-E11)^2),-4)</f>
        <v>-4</v>
      </c>
      <c r="E587" s="70"/>
      <c r="F587" s="70">
        <f t="shared" si="413"/>
        <v>-4</v>
      </c>
      <c r="G587" s="70">
        <f>IFERROR(AL5+SQRT(H$17^2-(AM7-H11)^2),-4)</f>
        <v>-4</v>
      </c>
      <c r="H587" s="70"/>
      <c r="I587" s="70">
        <f t="shared" si="414"/>
        <v>-4</v>
      </c>
      <c r="J587" s="70">
        <f>IFERROR(AL5+SQRT(K$17^2-(AM7-K11)^2),-4)</f>
        <v>-4</v>
      </c>
      <c r="K587" s="70"/>
      <c r="L587" s="70">
        <f t="shared" si="415"/>
        <v>-4</v>
      </c>
      <c r="M587" s="70">
        <f>IFERROR(AL5+SQRT(N$17^2-(AM7-N11)^2),-4)</f>
        <v>-4</v>
      </c>
      <c r="N587" s="70"/>
      <c r="O587" s="70">
        <f t="shared" si="416"/>
        <v>-4</v>
      </c>
      <c r="P587" s="70">
        <f>IFERROR(AL5+SQRT(Q$17^2-(AM7-Q11)^2),-4)</f>
        <v>-4</v>
      </c>
      <c r="Q587" s="70"/>
      <c r="R587" s="70">
        <f t="shared" si="417"/>
        <v>-4</v>
      </c>
      <c r="S587" s="70">
        <f>IFERROR(AL5+SQRT(T$17^2-(AM7-T11)^2),-4)</f>
        <v>-4</v>
      </c>
      <c r="T587" s="70"/>
      <c r="U587" s="70">
        <f t="shared" si="418"/>
        <v>-4</v>
      </c>
      <c r="V587" s="70">
        <f>IFERROR(AL5+SQRT(W$17^2-(AM7-W11)^2),-4)</f>
        <v>-4</v>
      </c>
      <c r="W587" s="70"/>
      <c r="X587" s="70">
        <f t="shared" si="419"/>
        <v>-4</v>
      </c>
      <c r="Y587" s="70">
        <f>IFERROR(AL5+SQRT(Z$17^2-(AM7-Z11)^2),-4)</f>
        <v>-4</v>
      </c>
      <c r="Z587" s="70"/>
      <c r="AA587" s="70">
        <f t="shared" si="420"/>
        <v>-4</v>
      </c>
      <c r="AB587" s="70">
        <f>IFERROR(AL5+SQRT(AC$17^2-(AM7-AC11)^2),-4)</f>
        <v>-4</v>
      </c>
      <c r="AC587" s="70"/>
    </row>
    <row r="588" spans="1:29" s="2" customFormat="1">
      <c r="A588" s="70"/>
      <c r="B588" s="70"/>
      <c r="C588" s="70">
        <f t="shared" si="412"/>
        <v>-4</v>
      </c>
      <c r="D588" s="70">
        <f>IFERROR(AL5+SQRT($E$17^2-(AM7-E12)^2),-4)</f>
        <v>-4</v>
      </c>
      <c r="E588" s="70"/>
      <c r="F588" s="70">
        <f t="shared" si="413"/>
        <v>-4</v>
      </c>
      <c r="G588" s="70">
        <f>IFERROR(AL5+SQRT(H$17^2-(AM7-H12)^2),-4)</f>
        <v>-4</v>
      </c>
      <c r="H588" s="70"/>
      <c r="I588" s="70">
        <f t="shared" si="414"/>
        <v>-4</v>
      </c>
      <c r="J588" s="70">
        <f>IFERROR(AL5+SQRT(K$17^2-(AM7-K12)^2),-4)</f>
        <v>-4</v>
      </c>
      <c r="K588" s="70"/>
      <c r="L588" s="70">
        <f t="shared" si="415"/>
        <v>-4</v>
      </c>
      <c r="M588" s="70">
        <f>IFERROR(AL5+SQRT(N$17^2-(AM7-N12)^2),-4)</f>
        <v>-4</v>
      </c>
      <c r="N588" s="70"/>
      <c r="O588" s="70">
        <f t="shared" si="416"/>
        <v>-4</v>
      </c>
      <c r="P588" s="70">
        <f>IFERROR(AL5+SQRT(Q$17^2-(AM7-Q12)^2),-4)</f>
        <v>-4</v>
      </c>
      <c r="Q588" s="70"/>
      <c r="R588" s="70">
        <f t="shared" si="417"/>
        <v>-4</v>
      </c>
      <c r="S588" s="70">
        <f>IFERROR(AL5+SQRT(T$17^2-(AM7-T12)^2),-4)</f>
        <v>-4</v>
      </c>
      <c r="T588" s="70"/>
      <c r="U588" s="70">
        <f t="shared" si="418"/>
        <v>-4</v>
      </c>
      <c r="V588" s="70">
        <f>IFERROR(AL5+SQRT(W$17^2-(AM7-W12)^2),-4)</f>
        <v>-4</v>
      </c>
      <c r="W588" s="70"/>
      <c r="X588" s="70">
        <f t="shared" si="419"/>
        <v>-4</v>
      </c>
      <c r="Y588" s="70">
        <f>IFERROR(AL5+SQRT(Z$17^2-(AM7-Z12)^2),-4)</f>
        <v>-4</v>
      </c>
      <c r="Z588" s="70"/>
      <c r="AA588" s="70">
        <f t="shared" si="420"/>
        <v>-4</v>
      </c>
      <c r="AB588" s="70">
        <f>IFERROR(AL5+SQRT(AC$17^2-(AM7-AC12)^2),-4)</f>
        <v>-4</v>
      </c>
      <c r="AC588" s="70"/>
    </row>
    <row r="589" spans="1:29" s="2" customFormat="1">
      <c r="A589" s="70"/>
      <c r="B589" s="70"/>
      <c r="C589" s="70">
        <f t="shared" si="412"/>
        <v>-4</v>
      </c>
      <c r="D589" s="70">
        <f>IFERROR(AL5+SQRT($E$17^2-(AM7-E13)^2),-4)</f>
        <v>-4</v>
      </c>
      <c r="E589" s="70"/>
      <c r="F589" s="70">
        <f t="shared" si="413"/>
        <v>-4</v>
      </c>
      <c r="G589" s="70">
        <f>IFERROR(AL5+SQRT(H$17^2-(AM7-H13)^2),-4)</f>
        <v>-4</v>
      </c>
      <c r="H589" s="70"/>
      <c r="I589" s="70">
        <f t="shared" si="414"/>
        <v>-4</v>
      </c>
      <c r="J589" s="70">
        <f>IFERROR(AL5+SQRT(K$17^2-(AM7-K13)^2),-4)</f>
        <v>-4</v>
      </c>
      <c r="K589" s="70"/>
      <c r="L589" s="70">
        <f t="shared" si="415"/>
        <v>-4</v>
      </c>
      <c r="M589" s="70">
        <f>IFERROR(AL5+SQRT(N$17^2-(AM7-N13)^2),-4)</f>
        <v>-4</v>
      </c>
      <c r="N589" s="70"/>
      <c r="O589" s="70">
        <f t="shared" si="416"/>
        <v>-4</v>
      </c>
      <c r="P589" s="70">
        <f>IFERROR(AL5+SQRT(Q$17^2-(AM7-Q13)^2),-4)</f>
        <v>-4</v>
      </c>
      <c r="Q589" s="70"/>
      <c r="R589" s="70">
        <f t="shared" si="417"/>
        <v>-4</v>
      </c>
      <c r="S589" s="70">
        <f>IFERROR(AL5+SQRT(T$17^2-(AM7-T13)^2),-4)</f>
        <v>-4</v>
      </c>
      <c r="T589" s="70"/>
      <c r="U589" s="70">
        <f t="shared" si="418"/>
        <v>-4</v>
      </c>
      <c r="V589" s="70">
        <f>IFERROR(AL5+SQRT(W$17^2-(AM7-W13)^2),-4)</f>
        <v>-4</v>
      </c>
      <c r="W589" s="70"/>
      <c r="X589" s="70">
        <f t="shared" si="419"/>
        <v>-4</v>
      </c>
      <c r="Y589" s="70">
        <f>IFERROR(AL5+SQRT(Z$17^2-(AM7-Z13)^2),-4)</f>
        <v>-4</v>
      </c>
      <c r="Z589" s="70"/>
      <c r="AA589" s="70">
        <f t="shared" si="420"/>
        <v>-4</v>
      </c>
      <c r="AB589" s="70">
        <f>IFERROR(AL5+SQRT(AC$17^2-(AM7-AC13)^2),-4)</f>
        <v>-4</v>
      </c>
      <c r="AC589" s="70"/>
    </row>
    <row r="590" spans="1:29" s="2" customFormat="1">
      <c r="A590" s="70"/>
      <c r="B590" s="70"/>
      <c r="C590" s="70">
        <f t="shared" si="412"/>
        <v>-4</v>
      </c>
      <c r="D590" s="70">
        <f>IFERROR(AL5+SQRT($E$17^2-(AM7-E14)^2),-4)</f>
        <v>-4</v>
      </c>
      <c r="E590" s="70"/>
      <c r="F590" s="70">
        <f t="shared" si="413"/>
        <v>-4</v>
      </c>
      <c r="G590" s="70">
        <f>IFERROR(AL5+SQRT(H$17^2-(AM7-H14)^2),-4)</f>
        <v>-4</v>
      </c>
      <c r="H590" s="70"/>
      <c r="I590" s="70">
        <f t="shared" si="414"/>
        <v>-4</v>
      </c>
      <c r="J590" s="70">
        <f>IFERROR(AL5+SQRT(K$17^2-(AM7-K14)^2),-4)</f>
        <v>-4</v>
      </c>
      <c r="K590" s="70"/>
      <c r="L590" s="70">
        <f t="shared" si="415"/>
        <v>-4</v>
      </c>
      <c r="M590" s="70">
        <f>IFERROR(AL5+SQRT(N$17^2-(AM7-N14)^2),-4)</f>
        <v>-4</v>
      </c>
      <c r="N590" s="70"/>
      <c r="O590" s="70">
        <f t="shared" si="416"/>
        <v>-4</v>
      </c>
      <c r="P590" s="70">
        <f>IFERROR(AL5+SQRT(Q$17^2-(AM7-Q14)^2),-4)</f>
        <v>-4</v>
      </c>
      <c r="Q590" s="70"/>
      <c r="R590" s="70">
        <f t="shared" si="417"/>
        <v>-4</v>
      </c>
      <c r="S590" s="70">
        <f>IFERROR(AL5+SQRT(T$17^2-(AM7-T14)^2),-4)</f>
        <v>-4</v>
      </c>
      <c r="T590" s="70"/>
      <c r="U590" s="70">
        <f t="shared" si="418"/>
        <v>-4</v>
      </c>
      <c r="V590" s="70">
        <f>IFERROR(AL5+SQRT(W$17^2-(AM7-W14)^2),-4)</f>
        <v>-4</v>
      </c>
      <c r="W590" s="70"/>
      <c r="X590" s="70">
        <f t="shared" si="419"/>
        <v>-4</v>
      </c>
      <c r="Y590" s="70">
        <f>IFERROR(AL5+SQRT(Z$17^2-(AM7-Z14)^2),-4)</f>
        <v>-4</v>
      </c>
      <c r="Z590" s="70"/>
      <c r="AA590" s="70">
        <f t="shared" si="420"/>
        <v>-4</v>
      </c>
      <c r="AB590" s="70">
        <f>IFERROR(AL5+SQRT(AC$17^2-(AM7-AC14)^2),-4)</f>
        <v>-4</v>
      </c>
      <c r="AC590" s="70"/>
    </row>
    <row r="591" spans="1:29" s="2" customFormat="1">
      <c r="A591" s="70"/>
      <c r="B591" s="70"/>
      <c r="C591" s="70">
        <f t="shared" si="412"/>
        <v>-4</v>
      </c>
      <c r="D591" s="70">
        <f>IFERROR(AL5+SQRT($E$17^2-(AM7-E15)^2),-4)</f>
        <v>-4</v>
      </c>
      <c r="E591" s="70"/>
      <c r="F591" s="70">
        <f t="shared" si="413"/>
        <v>-4</v>
      </c>
      <c r="G591" s="70">
        <f>IFERROR(AL5+SQRT(H$17^2-(AM7-H15)^2),-4)</f>
        <v>-4</v>
      </c>
      <c r="H591" s="70"/>
      <c r="I591" s="70">
        <f t="shared" si="414"/>
        <v>-4</v>
      </c>
      <c r="J591" s="70">
        <f>IFERROR(AL5+SQRT(K$17^2-(AM7-K15)^2),-4)</f>
        <v>-4</v>
      </c>
      <c r="K591" s="70"/>
      <c r="L591" s="70">
        <f t="shared" si="415"/>
        <v>-4</v>
      </c>
      <c r="M591" s="70">
        <f>IFERROR(AL5+SQRT(N$17^2-(AM7-N15)^2),-4)</f>
        <v>-4</v>
      </c>
      <c r="N591" s="70"/>
      <c r="O591" s="70">
        <f t="shared" si="416"/>
        <v>-4</v>
      </c>
      <c r="P591" s="70">
        <f>IFERROR(AL5+SQRT(Q$17^2-(AM7-Q15)^2),-4)</f>
        <v>-4</v>
      </c>
      <c r="Q591" s="70"/>
      <c r="R591" s="70">
        <f t="shared" si="417"/>
        <v>-4</v>
      </c>
      <c r="S591" s="70">
        <f>IFERROR(AL5+SQRT(T$17^2-(AM7-T15)^2),-4)</f>
        <v>-4</v>
      </c>
      <c r="T591" s="70"/>
      <c r="U591" s="70">
        <f t="shared" si="418"/>
        <v>-4</v>
      </c>
      <c r="V591" s="70">
        <f>IFERROR(AL5+SQRT(W$17^2-(AM7-W15)^2),-4)</f>
        <v>-4</v>
      </c>
      <c r="W591" s="70"/>
      <c r="X591" s="70">
        <f t="shared" si="419"/>
        <v>-4</v>
      </c>
      <c r="Y591" s="70">
        <f>IFERROR(AL5+SQRT(Z$17^2-(AM7-Z15)^2),-4)</f>
        <v>-4</v>
      </c>
      <c r="Z591" s="70"/>
      <c r="AA591" s="70">
        <f t="shared" si="420"/>
        <v>-4</v>
      </c>
      <c r="AB591" s="70">
        <f>IFERROR(AL5+SQRT(AC$17^2-(AM7-AC15)^2),-4)</f>
        <v>-4</v>
      </c>
      <c r="AC591" s="70"/>
    </row>
    <row r="592" spans="1:29" s="2" customFormat="1">
      <c r="A592" s="70"/>
      <c r="B592" s="70"/>
      <c r="C592" s="70">
        <f t="shared" si="412"/>
        <v>-4</v>
      </c>
      <c r="D592" s="70">
        <f>IFERROR(AL5+SQRT($E$17^2-(AM7-E16)^2),-4)</f>
        <v>-4</v>
      </c>
      <c r="E592" s="70"/>
      <c r="F592" s="70">
        <f t="shared" si="413"/>
        <v>-4</v>
      </c>
      <c r="G592" s="70">
        <f>IFERROR(AL5+SQRT(H$17^2-(AM7-H16)^2),-4)</f>
        <v>-4</v>
      </c>
      <c r="H592" s="70"/>
      <c r="I592" s="70">
        <f t="shared" si="414"/>
        <v>-4</v>
      </c>
      <c r="J592" s="70">
        <f>IFERROR(AL5+SQRT(K$17^2-(AM7-K16)^2),-4)</f>
        <v>-4</v>
      </c>
      <c r="K592" s="70"/>
      <c r="L592" s="70">
        <f t="shared" si="415"/>
        <v>-4</v>
      </c>
      <c r="M592" s="70">
        <f>IFERROR(AL5+SQRT(N$17^2-(AM7-N16)^2),-4)</f>
        <v>-4</v>
      </c>
      <c r="N592" s="70"/>
      <c r="O592" s="70">
        <f t="shared" si="416"/>
        <v>-4</v>
      </c>
      <c r="P592" s="70">
        <f>IFERROR(AL5+SQRT(Q$17^2-(AM7-Q16)^2),-4)</f>
        <v>-4</v>
      </c>
      <c r="Q592" s="70"/>
      <c r="R592" s="70">
        <f t="shared" si="417"/>
        <v>-4</v>
      </c>
      <c r="S592" s="70">
        <f>IFERROR(AL5+SQRT(T$17^2-(AM7-T16)^2),-4)</f>
        <v>-4</v>
      </c>
      <c r="T592" s="70"/>
      <c r="U592" s="70">
        <f t="shared" si="418"/>
        <v>-4</v>
      </c>
      <c r="V592" s="70">
        <f>IFERROR(AL5+SQRT(W$17^2-(AM7-W16)^2),-4)</f>
        <v>-4</v>
      </c>
      <c r="W592" s="70"/>
      <c r="X592" s="70">
        <f t="shared" si="419"/>
        <v>-4</v>
      </c>
      <c r="Y592" s="70">
        <f>IFERROR(AL5+SQRT(Z$17^2-(AM7-Z16)^2),-4)</f>
        <v>-4</v>
      </c>
      <c r="Z592" s="70"/>
      <c r="AA592" s="70">
        <f t="shared" si="420"/>
        <v>-4</v>
      </c>
      <c r="AB592" s="70">
        <f>IFERROR(AL5+SQRT(AC$17^2-(AM7-AC16)^2),-4)</f>
        <v>-4</v>
      </c>
      <c r="AC592" s="70"/>
    </row>
    <row r="593" spans="1:29" s="2" customFormat="1">
      <c r="A593" s="70"/>
      <c r="B593" s="70"/>
      <c r="C593" s="70">
        <f t="shared" ref="C593:C600" si="421">IF($A$7,IF(D593&gt;D9,D9,D593),-4)</f>
        <v>-4</v>
      </c>
      <c r="D593" s="70">
        <f>IFERROR(AL6+SQRT(E$17^2-(AM5-E9)^2),-4)</f>
        <v>-4</v>
      </c>
      <c r="E593" s="70"/>
      <c r="F593" s="70">
        <f t="shared" ref="F593:F600" si="422">IF($A$7,IF(G593&gt;G9,G9,G593),-4)</f>
        <v>0</v>
      </c>
      <c r="G593" s="70">
        <f>IFERROR(AL6+SQRT(H$17^2-(AM5-H9)^2),-4)</f>
        <v>6.6993249620269779</v>
      </c>
      <c r="H593" s="70"/>
      <c r="I593" s="70">
        <f t="shared" ref="I593:I600" si="423">IF($A$7,IF(J593&gt;J9,J9,J593),-4)</f>
        <v>0</v>
      </c>
      <c r="J593" s="70">
        <f>IFERROR(AL6+SQRT(K$17^2-(AM5-K9)^2),-4)</f>
        <v>6.6993249620269779</v>
      </c>
      <c r="K593" s="70"/>
      <c r="L593" s="70">
        <f t="shared" ref="L593:L600" si="424">IF($A$7,IF(M593&gt;M9,M9,M593),-4)</f>
        <v>-4</v>
      </c>
      <c r="M593" s="70">
        <f>IFERROR(AL6+SQRT(N$17^2-(AM5-N9)^2),-4)</f>
        <v>-4</v>
      </c>
      <c r="N593" s="70"/>
      <c r="O593" s="70">
        <f t="shared" ref="O593:O600" si="425">IF($A$7,IF(P593&gt;P9,P9,P593),-4)</f>
        <v>-4</v>
      </c>
      <c r="P593" s="70">
        <f>IFERROR(AL6+SQRT(Q$17^2-(AM5-Q9)^2),-4)</f>
        <v>-4</v>
      </c>
      <c r="Q593" s="70"/>
      <c r="R593" s="70">
        <f t="shared" ref="R593:R600" si="426">IF($A$7,IF(S593&gt;S9,S9,S593),-4)</f>
        <v>-4</v>
      </c>
      <c r="S593" s="70">
        <f>IFERROR(AL6+SQRT(T$17^2-(AM5-T9)^2),-4)</f>
        <v>-4</v>
      </c>
      <c r="T593" s="70"/>
      <c r="U593" s="70">
        <f t="shared" ref="U593:U600" si="427">IF($A$7,IF(V593&gt;V9,V9,V593),-4)</f>
        <v>-4</v>
      </c>
      <c r="V593" s="70">
        <f>IFERROR(AL6+SQRT(W$17^2-(AM5-W9)^2),-4)</f>
        <v>-4</v>
      </c>
      <c r="W593" s="70"/>
      <c r="X593" s="70">
        <f t="shared" ref="X593:X600" si="428">IF($A$7,IF(Y593&gt;Y9,Y9,Y593),-4)</f>
        <v>-4</v>
      </c>
      <c r="Y593" s="70">
        <f>IFERROR(AL6+SQRT(Z$17^2-(AM5-Z9)^2),-4)</f>
        <v>-4</v>
      </c>
      <c r="Z593" s="70"/>
      <c r="AA593" s="70">
        <f t="shared" ref="AA593:AA600" si="429">IF($A$7,IF(AB593&gt;AB9,AB9,AB593),-4)</f>
        <v>-4</v>
      </c>
      <c r="AB593" s="70">
        <f>IFERROR(AL6+SQRT(AC$17^2-(AM5-AC9)^2),-4)</f>
        <v>-4</v>
      </c>
      <c r="AC593" s="70"/>
    </row>
    <row r="594" spans="1:29" s="2" customFormat="1">
      <c r="A594" s="70"/>
      <c r="B594" s="70" t="s">
        <v>228</v>
      </c>
      <c r="C594" s="70">
        <f t="shared" si="421"/>
        <v>-4</v>
      </c>
      <c r="D594" s="70">
        <f>IFERROR(AL6+SQRT(E$17^2-(AM5-E10)^2),-4)</f>
        <v>-4</v>
      </c>
      <c r="E594" s="70"/>
      <c r="F594" s="70">
        <f t="shared" si="422"/>
        <v>0</v>
      </c>
      <c r="G594" s="70">
        <f>IFERROR(AL6+SQRT(H$17^2-(AM5-H10)^2),-4)</f>
        <v>6.6993249620269779</v>
      </c>
      <c r="H594" s="70"/>
      <c r="I594" s="70">
        <f t="shared" si="423"/>
        <v>0</v>
      </c>
      <c r="J594" s="70">
        <f>IFERROR(AL6+SQRT(K$17^2-(AM5-K10)^2),-4)</f>
        <v>6.6993249620269779</v>
      </c>
      <c r="K594" s="70"/>
      <c r="L594" s="70">
        <f t="shared" si="424"/>
        <v>-4</v>
      </c>
      <c r="M594" s="70">
        <f>IFERROR(AL6+SQRT(N$17^2-(AM5-N10)^2),-4)</f>
        <v>-4</v>
      </c>
      <c r="N594" s="70"/>
      <c r="O594" s="70">
        <f t="shared" si="425"/>
        <v>-4</v>
      </c>
      <c r="P594" s="70">
        <f>IFERROR(AL6+SQRT(Q$17^2-(AM5-Q10)^2),-4)</f>
        <v>-4</v>
      </c>
      <c r="Q594" s="70"/>
      <c r="R594" s="70">
        <f t="shared" si="426"/>
        <v>-4</v>
      </c>
      <c r="S594" s="70">
        <f>IFERROR(AL6+SQRT(T$17^2-(AM5-T10)^2),-4)</f>
        <v>-4</v>
      </c>
      <c r="T594" s="70"/>
      <c r="U594" s="70">
        <f t="shared" si="427"/>
        <v>-4</v>
      </c>
      <c r="V594" s="70">
        <f>IFERROR(AL6+SQRT(W$17^2-(AM5-W10)^2),-4)</f>
        <v>-4</v>
      </c>
      <c r="W594" s="70"/>
      <c r="X594" s="70">
        <f t="shared" si="428"/>
        <v>-4</v>
      </c>
      <c r="Y594" s="70">
        <f>IFERROR(AL6+SQRT(Z$17^2-(AM5-Z10)^2),-4)</f>
        <v>-4</v>
      </c>
      <c r="Z594" s="70"/>
      <c r="AA594" s="70">
        <f t="shared" si="429"/>
        <v>-4</v>
      </c>
      <c r="AB594" s="70">
        <f>IFERROR(AL6+SQRT(AC$17^2-(AM5-AC10)^2),-4)</f>
        <v>-4</v>
      </c>
      <c r="AC594" s="70"/>
    </row>
    <row r="595" spans="1:29" s="2" customFormat="1">
      <c r="A595" s="70"/>
      <c r="B595" s="70"/>
      <c r="C595" s="70">
        <f t="shared" si="421"/>
        <v>-4</v>
      </c>
      <c r="D595" s="70">
        <f>IFERROR(AL6+SQRT(E$17^2-(AM5-E11)^2),-4)</f>
        <v>-4</v>
      </c>
      <c r="E595" s="70"/>
      <c r="F595" s="70">
        <f t="shared" si="422"/>
        <v>0</v>
      </c>
      <c r="G595" s="70">
        <f>IFERROR(AL6+SQRT(H$17^2-(AM5-H11)^2),-4)</f>
        <v>6.6993249620269779</v>
      </c>
      <c r="H595" s="70"/>
      <c r="I595" s="70">
        <f t="shared" si="423"/>
        <v>0</v>
      </c>
      <c r="J595" s="70">
        <f>IFERROR(AL6+SQRT(K$17^2-(AM5-K11)^2),-4)</f>
        <v>6.6993249620269779</v>
      </c>
      <c r="K595" s="70"/>
      <c r="L595" s="70">
        <f t="shared" si="424"/>
        <v>-4</v>
      </c>
      <c r="M595" s="70">
        <f>IFERROR(AL6+SQRT(N$17^2-(AM5-N11)^2),-4)</f>
        <v>-4</v>
      </c>
      <c r="N595" s="70"/>
      <c r="O595" s="70">
        <f t="shared" si="425"/>
        <v>-4</v>
      </c>
      <c r="P595" s="70">
        <f>IFERROR(AL6+SQRT(Q$17^2-(AM5-Q11)^2),-4)</f>
        <v>-4</v>
      </c>
      <c r="Q595" s="70"/>
      <c r="R595" s="70">
        <f t="shared" si="426"/>
        <v>-4</v>
      </c>
      <c r="S595" s="70">
        <f>IFERROR(AL6+SQRT(T$17^2-(AM5-T11)^2),-4)</f>
        <v>-4</v>
      </c>
      <c r="T595" s="70"/>
      <c r="U595" s="70">
        <f t="shared" si="427"/>
        <v>-4</v>
      </c>
      <c r="V595" s="70">
        <f>IFERROR(AL6+SQRT(W$17^2-(AM5-W11)^2),-4)</f>
        <v>-4</v>
      </c>
      <c r="W595" s="70"/>
      <c r="X595" s="70">
        <f t="shared" si="428"/>
        <v>-4</v>
      </c>
      <c r="Y595" s="70">
        <f>IFERROR(AL6+SQRT(Z$17^2-(AM5-Z11)^2),-4)</f>
        <v>-4</v>
      </c>
      <c r="Z595" s="70"/>
      <c r="AA595" s="70">
        <f t="shared" si="429"/>
        <v>-4</v>
      </c>
      <c r="AB595" s="70">
        <f>IFERROR(AL6+SQRT(AC$17^2-(AM5-AC11)^2),-4)</f>
        <v>-4</v>
      </c>
      <c r="AC595" s="70"/>
    </row>
    <row r="596" spans="1:29" s="2" customFormat="1">
      <c r="A596" s="70"/>
      <c r="B596" s="70"/>
      <c r="C596" s="70">
        <f t="shared" si="421"/>
        <v>-4</v>
      </c>
      <c r="D596" s="70">
        <f>IFERROR(AL6+SQRT(E$17^2-(AM5-E12)^2),-4)</f>
        <v>-4</v>
      </c>
      <c r="E596" s="70"/>
      <c r="F596" s="70">
        <f t="shared" si="422"/>
        <v>0</v>
      </c>
      <c r="G596" s="70">
        <f>IFERROR(AL6+SQRT(H$17^2-(AM5-H12)^2),-4)</f>
        <v>6.6993249620269779</v>
      </c>
      <c r="H596" s="70"/>
      <c r="I596" s="70">
        <f t="shared" si="423"/>
        <v>0</v>
      </c>
      <c r="J596" s="70">
        <f>IFERROR(AL6+SQRT(K$17^2-(AM5-K12)^2),-4)</f>
        <v>6.6993249620269779</v>
      </c>
      <c r="K596" s="70"/>
      <c r="L596" s="70">
        <f t="shared" si="424"/>
        <v>-4</v>
      </c>
      <c r="M596" s="70">
        <f>IFERROR(AL6+SQRT(N$17^2-(AM5-N12)^2),-4)</f>
        <v>-4</v>
      </c>
      <c r="N596" s="70"/>
      <c r="O596" s="70">
        <f t="shared" si="425"/>
        <v>-4</v>
      </c>
      <c r="P596" s="70">
        <f>IFERROR(AL6+SQRT(Q$17^2-(AM5-Q12)^2),-4)</f>
        <v>-4</v>
      </c>
      <c r="Q596" s="70"/>
      <c r="R596" s="70">
        <f t="shared" si="426"/>
        <v>-4</v>
      </c>
      <c r="S596" s="70">
        <f>IFERROR(AL6+SQRT(T$17^2-(AM5-T12)^2),-4)</f>
        <v>-4</v>
      </c>
      <c r="T596" s="70"/>
      <c r="U596" s="70">
        <f t="shared" si="427"/>
        <v>-4</v>
      </c>
      <c r="V596" s="70">
        <f>IFERROR(AL6+SQRT(W$17^2-(AM5-W12)^2),-4)</f>
        <v>-4</v>
      </c>
      <c r="W596" s="70"/>
      <c r="X596" s="70">
        <f t="shared" si="428"/>
        <v>-4</v>
      </c>
      <c r="Y596" s="70">
        <f>IFERROR(AL6+SQRT(Z$17^2-(AM5-Z12)^2),-4)</f>
        <v>-4</v>
      </c>
      <c r="Z596" s="70"/>
      <c r="AA596" s="70">
        <f t="shared" si="429"/>
        <v>-4</v>
      </c>
      <c r="AB596" s="70">
        <f>IFERROR(AL6+SQRT(AC$17^2-(AM5-AC12)^2),-4)</f>
        <v>-4</v>
      </c>
      <c r="AC596" s="70"/>
    </row>
    <row r="597" spans="1:29" s="2" customFormat="1">
      <c r="A597" s="70"/>
      <c r="B597" s="70"/>
      <c r="C597" s="70">
        <f t="shared" si="421"/>
        <v>-4</v>
      </c>
      <c r="D597" s="70">
        <f>IFERROR(AL6+SQRT(E$17^2-(AM5-E13)^2),-4)</f>
        <v>-4</v>
      </c>
      <c r="E597" s="70"/>
      <c r="F597" s="70">
        <f t="shared" si="422"/>
        <v>0</v>
      </c>
      <c r="G597" s="70">
        <f>IFERROR(AL6+SQRT(H$17^2-(AM5-H13)^2),-4)</f>
        <v>6.6993249620269779</v>
      </c>
      <c r="H597" s="70"/>
      <c r="I597" s="70">
        <f t="shared" si="423"/>
        <v>0</v>
      </c>
      <c r="J597" s="70">
        <f>IFERROR(AL6+SQRT(K$17^2-(AM5-K13)^2),-4)</f>
        <v>6.6993249620269779</v>
      </c>
      <c r="K597" s="70"/>
      <c r="L597" s="70">
        <f t="shared" si="424"/>
        <v>-4</v>
      </c>
      <c r="M597" s="70">
        <f>IFERROR(AL6+SQRT(N$17^2-(AM5-N13)^2),-4)</f>
        <v>-4</v>
      </c>
      <c r="N597" s="70"/>
      <c r="O597" s="70">
        <f t="shared" si="425"/>
        <v>-4</v>
      </c>
      <c r="P597" s="70">
        <f>IFERROR(AL6+SQRT(Q$17^2-(AM5-Q13)^2),-4)</f>
        <v>-4</v>
      </c>
      <c r="Q597" s="70"/>
      <c r="R597" s="70">
        <f t="shared" si="426"/>
        <v>-4</v>
      </c>
      <c r="S597" s="70">
        <f>IFERROR(AL6+SQRT(T$17^2-(AM5-T13)^2),-4)</f>
        <v>-4</v>
      </c>
      <c r="T597" s="70"/>
      <c r="U597" s="70">
        <f t="shared" si="427"/>
        <v>-4</v>
      </c>
      <c r="V597" s="70">
        <f>IFERROR(AL6+SQRT(W$17^2-(AM5-W13)^2),-4)</f>
        <v>-4</v>
      </c>
      <c r="W597" s="70"/>
      <c r="X597" s="70">
        <f t="shared" si="428"/>
        <v>-4</v>
      </c>
      <c r="Y597" s="70">
        <f>IFERROR(AL6+SQRT(Z$17^2-(AM5-Z13)^2),-4)</f>
        <v>-4</v>
      </c>
      <c r="Z597" s="70"/>
      <c r="AA597" s="70">
        <f t="shared" si="429"/>
        <v>-4</v>
      </c>
      <c r="AB597" s="70">
        <f>IFERROR(AL6+SQRT(AC$17^2-(AM5-AC13)^2),-4)</f>
        <v>-4</v>
      </c>
      <c r="AC597" s="70"/>
    </row>
    <row r="598" spans="1:29" s="2" customFormat="1">
      <c r="A598" s="70"/>
      <c r="B598" s="70"/>
      <c r="C598" s="70">
        <f t="shared" si="421"/>
        <v>-4</v>
      </c>
      <c r="D598" s="70">
        <f>IFERROR(AL6+SQRT(E$17^2-(AM5-E14)^2),-4)</f>
        <v>-4</v>
      </c>
      <c r="E598" s="70"/>
      <c r="F598" s="70">
        <f t="shared" si="422"/>
        <v>0</v>
      </c>
      <c r="G598" s="70">
        <f>IFERROR(AL6+SQRT(H$17^2-(AM5-H14)^2),-4)</f>
        <v>6.6993249620269779</v>
      </c>
      <c r="H598" s="70"/>
      <c r="I598" s="70">
        <f t="shared" si="423"/>
        <v>0</v>
      </c>
      <c r="J598" s="70">
        <f>IFERROR(AL6+SQRT(K$17^2-(AM5-K14)^2),-4)</f>
        <v>6.6993249620269779</v>
      </c>
      <c r="K598" s="70"/>
      <c r="L598" s="70">
        <f t="shared" si="424"/>
        <v>-4</v>
      </c>
      <c r="M598" s="70">
        <f>IFERROR(AL6+SQRT(N$17^2-(AM5-N14)^2),-4)</f>
        <v>-4</v>
      </c>
      <c r="N598" s="70"/>
      <c r="O598" s="70">
        <f t="shared" si="425"/>
        <v>-4</v>
      </c>
      <c r="P598" s="70">
        <f>IFERROR(AL6+SQRT(Q$17^2-(AM5-Q14)^2),-4)</f>
        <v>-4</v>
      </c>
      <c r="Q598" s="70"/>
      <c r="R598" s="70">
        <f t="shared" si="426"/>
        <v>-4</v>
      </c>
      <c r="S598" s="70">
        <f>IFERROR(AL6+SQRT(T$17^2-(AM5-T14)^2),-4)</f>
        <v>-4</v>
      </c>
      <c r="T598" s="70"/>
      <c r="U598" s="70">
        <f t="shared" si="427"/>
        <v>-4</v>
      </c>
      <c r="V598" s="70">
        <f>IFERROR(AL6+SQRT(W$17^2-(AM5-W14)^2),-4)</f>
        <v>-4</v>
      </c>
      <c r="W598" s="70"/>
      <c r="X598" s="70">
        <f t="shared" si="428"/>
        <v>-4</v>
      </c>
      <c r="Y598" s="70">
        <f>IFERROR(AL6+SQRT(Z$17^2-(AM5-Z14)^2),-4)</f>
        <v>-4</v>
      </c>
      <c r="Z598" s="70"/>
      <c r="AA598" s="70">
        <f t="shared" si="429"/>
        <v>-4</v>
      </c>
      <c r="AB598" s="70">
        <f>IFERROR(AL6+SQRT(AC$17^2-(AM5-AC14)^2),-4)</f>
        <v>-4</v>
      </c>
      <c r="AC598" s="70"/>
    </row>
    <row r="599" spans="1:29" s="2" customFormat="1">
      <c r="A599" s="70"/>
      <c r="B599" s="70"/>
      <c r="C599" s="70">
        <f t="shared" si="421"/>
        <v>-4</v>
      </c>
      <c r="D599" s="70">
        <f>IFERROR(AL6+SQRT(E$17^2-(AM5-E15)^2),-4)</f>
        <v>-4</v>
      </c>
      <c r="E599" s="70"/>
      <c r="F599" s="70">
        <f t="shared" si="422"/>
        <v>0</v>
      </c>
      <c r="G599" s="70">
        <f>IFERROR(AL6+SQRT(H$17^2-(AM5-H15)^2),-4)</f>
        <v>6.6993249620269779</v>
      </c>
      <c r="H599" s="70"/>
      <c r="I599" s="70">
        <f t="shared" si="423"/>
        <v>0</v>
      </c>
      <c r="J599" s="70">
        <f>IFERROR(AL6+SQRT(K$17^2-(AM5-K15)^2),-4)</f>
        <v>6.6993249620269779</v>
      </c>
      <c r="K599" s="70"/>
      <c r="L599" s="70">
        <f t="shared" si="424"/>
        <v>-4</v>
      </c>
      <c r="M599" s="70">
        <f>IFERROR(AL6+SQRT(N$17^2-(AM5-N15)^2),-4)</f>
        <v>-4</v>
      </c>
      <c r="N599" s="70"/>
      <c r="O599" s="70">
        <f t="shared" si="425"/>
        <v>-4</v>
      </c>
      <c r="P599" s="70">
        <f>IFERROR(AL6+SQRT(Q$17^2-(AM5-Q15)^2),-4)</f>
        <v>-4</v>
      </c>
      <c r="Q599" s="70"/>
      <c r="R599" s="70">
        <f t="shared" si="426"/>
        <v>-4</v>
      </c>
      <c r="S599" s="70">
        <f>IFERROR(AL6+SQRT(T$17^2-(AM5-T15)^2),-4)</f>
        <v>-4</v>
      </c>
      <c r="T599" s="70"/>
      <c r="U599" s="70">
        <f t="shared" si="427"/>
        <v>-4</v>
      </c>
      <c r="V599" s="70">
        <f>IFERROR(AL6+SQRT(W$17^2-(AM5-W15)^2),-4)</f>
        <v>-4</v>
      </c>
      <c r="W599" s="70"/>
      <c r="X599" s="70">
        <f t="shared" si="428"/>
        <v>-4</v>
      </c>
      <c r="Y599" s="70">
        <f>IFERROR(AL6+SQRT(Z$17^2-(AM5-Z15)^2),-4)</f>
        <v>-4</v>
      </c>
      <c r="Z599" s="70"/>
      <c r="AA599" s="70">
        <f t="shared" si="429"/>
        <v>-4</v>
      </c>
      <c r="AB599" s="70">
        <f>IFERROR(AL6+SQRT(AC$17^2-(AM5-AC15)^2),-4)</f>
        <v>-4</v>
      </c>
      <c r="AC599" s="70"/>
    </row>
    <row r="600" spans="1:29" s="2" customFormat="1">
      <c r="A600" s="70"/>
      <c r="B600" s="70"/>
      <c r="C600" s="70">
        <f t="shared" si="421"/>
        <v>-4</v>
      </c>
      <c r="D600" s="70">
        <f>IFERROR(AL6+SQRT(E$17^2-(AM5-E16)^2),-4)</f>
        <v>-4</v>
      </c>
      <c r="E600" s="70"/>
      <c r="F600" s="70">
        <f t="shared" si="422"/>
        <v>0</v>
      </c>
      <c r="G600" s="70">
        <f>IFERROR(AL6+SQRT(H$17^2-(AM5-H16)^2),-4)</f>
        <v>6.6993249620269779</v>
      </c>
      <c r="H600" s="70"/>
      <c r="I600" s="70">
        <f t="shared" si="423"/>
        <v>0</v>
      </c>
      <c r="J600" s="70">
        <f>IFERROR(AL6+SQRT(K$17^2-(AM5-K16)^2),-4)</f>
        <v>6.6993249620269779</v>
      </c>
      <c r="K600" s="70"/>
      <c r="L600" s="70">
        <f t="shared" si="424"/>
        <v>-4</v>
      </c>
      <c r="M600" s="70">
        <f>IFERROR(AL6+SQRT(N$17^2-(AM5-N16)^2),-4)</f>
        <v>-4</v>
      </c>
      <c r="N600" s="70"/>
      <c r="O600" s="70">
        <f t="shared" si="425"/>
        <v>-4</v>
      </c>
      <c r="P600" s="70">
        <f>IFERROR(AL6+SQRT(Q$17^2-(AM5-Q16)^2),-4)</f>
        <v>-4</v>
      </c>
      <c r="Q600" s="70"/>
      <c r="R600" s="70">
        <f t="shared" si="426"/>
        <v>-4</v>
      </c>
      <c r="S600" s="70">
        <f>IFERROR(AL6+SQRT(T$17^2-(AM5-T16)^2),-4)</f>
        <v>-4</v>
      </c>
      <c r="T600" s="70"/>
      <c r="U600" s="70">
        <f t="shared" si="427"/>
        <v>-4</v>
      </c>
      <c r="V600" s="70">
        <f>IFERROR(AL6+SQRT(W$17^2-(AM5-W16)^2),-4)</f>
        <v>-4</v>
      </c>
      <c r="W600" s="70"/>
      <c r="X600" s="70">
        <f t="shared" si="428"/>
        <v>-4</v>
      </c>
      <c r="Y600" s="70">
        <f>IFERROR(AL6+SQRT(Z$17^2-(AM5-Z16)^2),-4)</f>
        <v>-4</v>
      </c>
      <c r="Z600" s="70"/>
      <c r="AA600" s="70">
        <f t="shared" si="429"/>
        <v>-4</v>
      </c>
      <c r="AB600" s="70">
        <f>IFERROR(AL6+SQRT(AC$17^2-(AM5-AC16)^2),-4)</f>
        <v>-4</v>
      </c>
      <c r="AC600" s="70"/>
    </row>
    <row r="601" spans="1:29" s="2" customFormat="1">
      <c r="A601" s="70"/>
      <c r="B601" s="70"/>
      <c r="C601" s="70">
        <f t="shared" ref="C601:C608" si="430">IF($A$10,IF(D601&gt;D9,D9,D601),-4)</f>
        <v>-4</v>
      </c>
      <c r="D601" s="70">
        <f>IFERROR(AL6+SQRT($E$17^2-(AM6-E9)^2),-4)</f>
        <v>-4</v>
      </c>
      <c r="E601" s="70"/>
      <c r="F601" s="70">
        <f t="shared" ref="F601:F608" si="431">IF($A$10,IF(G601&gt;G9,G9,G601),-4)</f>
        <v>0</v>
      </c>
      <c r="G601" s="70">
        <f>IFERROR(AL6+SQRT(H$17^2-(AM6-H9)^2),-4)</f>
        <v>5.0712584000491203</v>
      </c>
      <c r="H601" s="70"/>
      <c r="I601" s="70">
        <f t="shared" ref="I601:I608" si="432">IF($A$10,IF(J601&gt;J9,J9,J601),-4)</f>
        <v>0</v>
      </c>
      <c r="J601" s="70">
        <f>IFERROR(AL6+SQRT(K$17^2-(AM6-K9)^2),-4)</f>
        <v>5.0712584000491203</v>
      </c>
      <c r="K601" s="70"/>
      <c r="L601" s="70">
        <f t="shared" ref="L601:L608" si="433">IF($A$10,IF(M601&gt;M9,M9,M601),-4)</f>
        <v>-4</v>
      </c>
      <c r="M601" s="70">
        <f>IFERROR(AL6+SQRT(N$17^2-(AM6-N9)^2),-4)</f>
        <v>-4</v>
      </c>
      <c r="N601" s="70"/>
      <c r="O601" s="70">
        <f t="shared" ref="O601:O608" si="434">IF($A$10,IF(P601&gt;P9,P9,P601),-4)</f>
        <v>-4</v>
      </c>
      <c r="P601" s="70">
        <f>IFERROR(AL6+SQRT(Q$17^2-(AM6-Q9)^2),-4)</f>
        <v>-4</v>
      </c>
      <c r="Q601" s="70"/>
      <c r="R601" s="70">
        <f t="shared" ref="R601:R608" si="435">IF($A$10,IF(S601&gt;S9,S9,S601),-4)</f>
        <v>-4</v>
      </c>
      <c r="S601" s="70">
        <f>IFERROR(AL6+SQRT(T$17^2-(AM6-T9)^2),-4)</f>
        <v>-4</v>
      </c>
      <c r="T601" s="70"/>
      <c r="U601" s="70">
        <f t="shared" ref="U601:U608" si="436">IF($A$10,IF(V601&gt;V9,V9,V601),-4)</f>
        <v>-4</v>
      </c>
      <c r="V601" s="70">
        <f>IFERROR(AL6+SQRT(W$17^2-(AM6-W9)^2),-4)</f>
        <v>-4</v>
      </c>
      <c r="W601" s="70"/>
      <c r="X601" s="70">
        <f t="shared" ref="X601:X608" si="437">IF($A$10,IF(Y601&gt;Y9,Y9,Y601),-4)</f>
        <v>-4</v>
      </c>
      <c r="Y601" s="70">
        <f>IFERROR(AL6+SQRT(Z$17^2-(AM6-Z9)^2),-4)</f>
        <v>-4</v>
      </c>
      <c r="Z601" s="70"/>
      <c r="AA601" s="70">
        <f t="shared" ref="AA601:AA608" si="438">IF($A$10,IF(AB601&gt;AB9,AB9,AB601),-4)</f>
        <v>-4</v>
      </c>
      <c r="AB601" s="70">
        <f>IFERROR(AL6+SQRT(AC$17^2-(AM6-AC9)^2),-4)</f>
        <v>-4</v>
      </c>
      <c r="AC601" s="70"/>
    </row>
    <row r="602" spans="1:29" s="2" customFormat="1">
      <c r="A602" s="70"/>
      <c r="B602" s="70" t="s">
        <v>229</v>
      </c>
      <c r="C602" s="70">
        <f t="shared" si="430"/>
        <v>-4</v>
      </c>
      <c r="D602" s="70">
        <f>IFERROR(AL6+SQRT($E$17^2-(AM6-E10)^2),-4)</f>
        <v>-4</v>
      </c>
      <c r="E602" s="70"/>
      <c r="F602" s="70">
        <f t="shared" si="431"/>
        <v>0</v>
      </c>
      <c r="G602" s="70">
        <f>IFERROR(AL6+SQRT(H$17^2-(AM6-H10)^2),-4)</f>
        <v>5.0712584000491203</v>
      </c>
      <c r="H602" s="70"/>
      <c r="I602" s="70">
        <f t="shared" si="432"/>
        <v>0</v>
      </c>
      <c r="J602" s="70">
        <f>IFERROR(AL6+SQRT(K$17^2-(AM6-K10)^2),-4)</f>
        <v>5.0712584000491203</v>
      </c>
      <c r="K602" s="70"/>
      <c r="L602" s="70">
        <f t="shared" si="433"/>
        <v>-4</v>
      </c>
      <c r="M602" s="70">
        <f>IFERROR(AL6+SQRT(N$17^2-(AM6-N10)^2),-4)</f>
        <v>-4</v>
      </c>
      <c r="N602" s="70"/>
      <c r="O602" s="70">
        <f t="shared" si="434"/>
        <v>-4</v>
      </c>
      <c r="P602" s="70">
        <f>IFERROR(AL6+SQRT(Q$17^2-(AM6-Q10)^2),-4)</f>
        <v>-4</v>
      </c>
      <c r="Q602" s="70"/>
      <c r="R602" s="70">
        <f t="shared" si="435"/>
        <v>-4</v>
      </c>
      <c r="S602" s="70">
        <f>IFERROR(AL6+SQRT(T$17^2-(AM6-T10)^2),-4)</f>
        <v>-4</v>
      </c>
      <c r="T602" s="70"/>
      <c r="U602" s="70">
        <f t="shared" si="436"/>
        <v>-4</v>
      </c>
      <c r="V602" s="70">
        <f>IFERROR(AL6+SQRT(W$17^2-(AM6-W10)^2),-4)</f>
        <v>-4</v>
      </c>
      <c r="W602" s="70"/>
      <c r="X602" s="70">
        <f t="shared" si="437"/>
        <v>-4</v>
      </c>
      <c r="Y602" s="70">
        <f>IFERROR(AL6+SQRT(Z$17^2-(AM6-Z10)^2),-4)</f>
        <v>-4</v>
      </c>
      <c r="Z602" s="70"/>
      <c r="AA602" s="70">
        <f t="shared" si="438"/>
        <v>-4</v>
      </c>
      <c r="AB602" s="70">
        <f>IFERROR(AL6+SQRT(AC$17^2-(AM6-AC10)^2),-4)</f>
        <v>-4</v>
      </c>
      <c r="AC602" s="70"/>
    </row>
    <row r="603" spans="1:29" s="2" customFormat="1">
      <c r="A603" s="70"/>
      <c r="B603" s="70"/>
      <c r="C603" s="70">
        <f t="shared" si="430"/>
        <v>-4</v>
      </c>
      <c r="D603" s="70">
        <f>IFERROR(AL6+SQRT($E$17^2-(AM6-E11)^2),-4)</f>
        <v>-4</v>
      </c>
      <c r="E603" s="70"/>
      <c r="F603" s="70">
        <f t="shared" si="431"/>
        <v>0</v>
      </c>
      <c r="G603" s="70">
        <f>IFERROR(AL6+SQRT(H$17^2-(AM6-H11)^2),-4)</f>
        <v>5.0712584000491203</v>
      </c>
      <c r="H603" s="70"/>
      <c r="I603" s="70">
        <f t="shared" si="432"/>
        <v>0</v>
      </c>
      <c r="J603" s="70">
        <f>IFERROR(AL6+SQRT(K$17^2-(AM6-K11)^2),-4)</f>
        <v>5.0712584000491203</v>
      </c>
      <c r="K603" s="70"/>
      <c r="L603" s="70">
        <f t="shared" si="433"/>
        <v>-4</v>
      </c>
      <c r="M603" s="70">
        <f>IFERROR(AL6+SQRT(N$17^2-(AM6-N11)^2),-4)</f>
        <v>-4</v>
      </c>
      <c r="N603" s="70"/>
      <c r="O603" s="70">
        <f t="shared" si="434"/>
        <v>-4</v>
      </c>
      <c r="P603" s="70">
        <f>IFERROR(AL6+SQRT(Q$17^2-(AM6-Q11)^2),-4)</f>
        <v>-4</v>
      </c>
      <c r="Q603" s="70"/>
      <c r="R603" s="70">
        <f t="shared" si="435"/>
        <v>-4</v>
      </c>
      <c r="S603" s="70">
        <f>IFERROR(AL6+SQRT(T$17^2-(AM6-T11)^2),-4)</f>
        <v>-4</v>
      </c>
      <c r="T603" s="70"/>
      <c r="U603" s="70">
        <f t="shared" si="436"/>
        <v>-4</v>
      </c>
      <c r="V603" s="70">
        <f>IFERROR(AL6+SQRT(W$17^2-(AM6-W11)^2),-4)</f>
        <v>-4</v>
      </c>
      <c r="W603" s="70"/>
      <c r="X603" s="70">
        <f t="shared" si="437"/>
        <v>-4</v>
      </c>
      <c r="Y603" s="70">
        <f>IFERROR(AL6+SQRT(Z$17^2-(AM6-Z11)^2),-4)</f>
        <v>-4</v>
      </c>
      <c r="Z603" s="70"/>
      <c r="AA603" s="70">
        <f t="shared" si="438"/>
        <v>-4</v>
      </c>
      <c r="AB603" s="70">
        <f>IFERROR(AL6+SQRT(AC$17^2-(AM6-AC11)^2),-4)</f>
        <v>-4</v>
      </c>
      <c r="AC603" s="70"/>
    </row>
    <row r="604" spans="1:29" s="2" customFormat="1">
      <c r="A604" s="70"/>
      <c r="B604" s="70"/>
      <c r="C604" s="70">
        <f t="shared" si="430"/>
        <v>-4</v>
      </c>
      <c r="D604" s="70">
        <f>IFERROR(AL6+SQRT($E$17^2-(AM6-E12)^2),-4)</f>
        <v>-4</v>
      </c>
      <c r="E604" s="70"/>
      <c r="F604" s="70">
        <f t="shared" si="431"/>
        <v>0</v>
      </c>
      <c r="G604" s="70">
        <f>IFERROR(AL6+SQRT(H$17^2-(AM6-H12)^2),-4)</f>
        <v>5.0712584000491203</v>
      </c>
      <c r="H604" s="70"/>
      <c r="I604" s="70">
        <f t="shared" si="432"/>
        <v>0</v>
      </c>
      <c r="J604" s="70">
        <f>IFERROR(AL6+SQRT(K$17^2-(AM6-K12)^2),-4)</f>
        <v>5.0712584000491203</v>
      </c>
      <c r="K604" s="70"/>
      <c r="L604" s="70">
        <f t="shared" si="433"/>
        <v>-4</v>
      </c>
      <c r="M604" s="70">
        <f>IFERROR(AL6+SQRT(N$17^2-(AM6-N12)^2),-4)</f>
        <v>-4</v>
      </c>
      <c r="N604" s="70"/>
      <c r="O604" s="70">
        <f t="shared" si="434"/>
        <v>-4</v>
      </c>
      <c r="P604" s="70">
        <f>IFERROR(AL6+SQRT(Q$17^2-(AM6-Q12)^2),-4)</f>
        <v>-4</v>
      </c>
      <c r="Q604" s="70"/>
      <c r="R604" s="70">
        <f t="shared" si="435"/>
        <v>-4</v>
      </c>
      <c r="S604" s="70">
        <f>IFERROR(AL6+SQRT(T$17^2-(AM6-T12)^2),-4)</f>
        <v>-4</v>
      </c>
      <c r="T604" s="70"/>
      <c r="U604" s="70">
        <f t="shared" si="436"/>
        <v>-4</v>
      </c>
      <c r="V604" s="70">
        <f>IFERROR(AL6+SQRT(W$17^2-(AM6-W12)^2),-4)</f>
        <v>-4</v>
      </c>
      <c r="W604" s="70"/>
      <c r="X604" s="70">
        <f t="shared" si="437"/>
        <v>-4</v>
      </c>
      <c r="Y604" s="70">
        <f>IFERROR(AL6+SQRT(Z$17^2-(AM6-Z12)^2),-4)</f>
        <v>-4</v>
      </c>
      <c r="Z604" s="70"/>
      <c r="AA604" s="70">
        <f t="shared" si="438"/>
        <v>-4</v>
      </c>
      <c r="AB604" s="70">
        <f>IFERROR(AL6+SQRT(AC$17^2-(AM6-AC12)^2),-4)</f>
        <v>-4</v>
      </c>
      <c r="AC604" s="70"/>
    </row>
    <row r="605" spans="1:29" s="2" customFormat="1">
      <c r="A605" s="70"/>
      <c r="B605" s="70"/>
      <c r="C605" s="70">
        <f t="shared" si="430"/>
        <v>-4</v>
      </c>
      <c r="D605" s="70">
        <f>IFERROR(AL6+SQRT($E$17^2-(AM6-E13)^2),-4)</f>
        <v>-4</v>
      </c>
      <c r="E605" s="70"/>
      <c r="F605" s="70">
        <f t="shared" si="431"/>
        <v>0</v>
      </c>
      <c r="G605" s="70">
        <f>IFERROR(AL6+SQRT(H$17^2-(AM6-H13)^2),-4)</f>
        <v>5.0712584000491203</v>
      </c>
      <c r="H605" s="70"/>
      <c r="I605" s="70">
        <f t="shared" si="432"/>
        <v>0</v>
      </c>
      <c r="J605" s="70">
        <f>IFERROR(AL6+SQRT(K$17^2-(AM6-K13)^2),-4)</f>
        <v>5.0712584000491203</v>
      </c>
      <c r="K605" s="70"/>
      <c r="L605" s="70">
        <f t="shared" si="433"/>
        <v>-4</v>
      </c>
      <c r="M605" s="70">
        <f>IFERROR(AL6+SQRT(N$17^2-(AM6-N13)^2),-4)</f>
        <v>-4</v>
      </c>
      <c r="N605" s="70"/>
      <c r="O605" s="70">
        <f t="shared" si="434"/>
        <v>-4</v>
      </c>
      <c r="P605" s="70">
        <f>IFERROR(AL6+SQRT(Q$17^2-(AM6-Q13)^2),-4)</f>
        <v>-4</v>
      </c>
      <c r="Q605" s="70"/>
      <c r="R605" s="70">
        <f t="shared" si="435"/>
        <v>-4</v>
      </c>
      <c r="S605" s="70">
        <f>IFERROR(AL6+SQRT(T$17^2-(AM6-T13)^2),-4)</f>
        <v>-4</v>
      </c>
      <c r="T605" s="70"/>
      <c r="U605" s="70">
        <f t="shared" si="436"/>
        <v>-4</v>
      </c>
      <c r="V605" s="70">
        <f>IFERROR(AL6+SQRT(W$17^2-(AM6-W13)^2),-4)</f>
        <v>-4</v>
      </c>
      <c r="W605" s="70"/>
      <c r="X605" s="70">
        <f t="shared" si="437"/>
        <v>-4</v>
      </c>
      <c r="Y605" s="70">
        <f>IFERROR(AL6+SQRT(Z$17^2-(AM6-Z13)^2),-4)</f>
        <v>-4</v>
      </c>
      <c r="Z605" s="70"/>
      <c r="AA605" s="70">
        <f t="shared" si="438"/>
        <v>-4</v>
      </c>
      <c r="AB605" s="70">
        <f>IFERROR(AL6+SQRT(AC$17^2-(AM6-AC13)^2),-4)</f>
        <v>-4</v>
      </c>
      <c r="AC605" s="70"/>
    </row>
    <row r="606" spans="1:29" s="2" customFormat="1">
      <c r="A606" s="70"/>
      <c r="B606" s="70"/>
      <c r="C606" s="70">
        <f t="shared" si="430"/>
        <v>-4</v>
      </c>
      <c r="D606" s="70">
        <f>IFERROR(AL6+SQRT($E$17^2-(AM6-E14)^2),-4)</f>
        <v>-4</v>
      </c>
      <c r="E606" s="70"/>
      <c r="F606" s="70">
        <f t="shared" si="431"/>
        <v>0</v>
      </c>
      <c r="G606" s="70">
        <f>IFERROR(AL6+SQRT(H$17^2-(AM6-H14)^2),-4)</f>
        <v>5.0712584000491203</v>
      </c>
      <c r="H606" s="70"/>
      <c r="I606" s="70">
        <f t="shared" si="432"/>
        <v>0</v>
      </c>
      <c r="J606" s="70">
        <f>IFERROR(AL6+SQRT(K$17^2-(AM6-K14)^2),-4)</f>
        <v>5.0712584000491203</v>
      </c>
      <c r="K606" s="70"/>
      <c r="L606" s="70">
        <f t="shared" si="433"/>
        <v>-4</v>
      </c>
      <c r="M606" s="70">
        <f>IFERROR(AL6+SQRT(N$17^2-(AM6-N14)^2),-4)</f>
        <v>-4</v>
      </c>
      <c r="N606" s="70"/>
      <c r="O606" s="70">
        <f t="shared" si="434"/>
        <v>-4</v>
      </c>
      <c r="P606" s="70">
        <f>IFERROR(AL6+SQRT(Q$17^2-(AM6-Q14)^2),-4)</f>
        <v>-4</v>
      </c>
      <c r="Q606" s="70"/>
      <c r="R606" s="70">
        <f t="shared" si="435"/>
        <v>-4</v>
      </c>
      <c r="S606" s="70">
        <f>IFERROR(AL6+SQRT(T$17^2-(AM6-T14)^2),-4)</f>
        <v>-4</v>
      </c>
      <c r="T606" s="70"/>
      <c r="U606" s="70">
        <f t="shared" si="436"/>
        <v>-4</v>
      </c>
      <c r="V606" s="70">
        <f>IFERROR(AL6+SQRT(W$17^2-(AM6-W14)^2),-4)</f>
        <v>-4</v>
      </c>
      <c r="W606" s="70"/>
      <c r="X606" s="70">
        <f t="shared" si="437"/>
        <v>-4</v>
      </c>
      <c r="Y606" s="70">
        <f>IFERROR(AL6+SQRT(Z$17^2-(AM6-Z14)^2),-4)</f>
        <v>-4</v>
      </c>
      <c r="Z606" s="70"/>
      <c r="AA606" s="70">
        <f t="shared" si="438"/>
        <v>-4</v>
      </c>
      <c r="AB606" s="70">
        <f>IFERROR(AL6+SQRT(AC$17^2-(AM6-AC14)^2),-4)</f>
        <v>-4</v>
      </c>
      <c r="AC606" s="70"/>
    </row>
    <row r="607" spans="1:29" s="2" customFormat="1">
      <c r="A607" s="70"/>
      <c r="B607" s="70"/>
      <c r="C607" s="70">
        <f t="shared" si="430"/>
        <v>-4</v>
      </c>
      <c r="D607" s="70">
        <f>IFERROR(AL6+SQRT($E$17^2-(AM6-E15)^2),-4)</f>
        <v>-4</v>
      </c>
      <c r="E607" s="70"/>
      <c r="F607" s="70">
        <f t="shared" si="431"/>
        <v>0</v>
      </c>
      <c r="G607" s="70">
        <f>IFERROR(AL6+SQRT(H$17^2-(AM6-H15)^2),-4)</f>
        <v>5.0712584000491203</v>
      </c>
      <c r="H607" s="70"/>
      <c r="I607" s="70">
        <f t="shared" si="432"/>
        <v>0</v>
      </c>
      <c r="J607" s="70">
        <f>IFERROR(AL6+SQRT(K$17^2-(AM6-K15)^2),-4)</f>
        <v>5.0712584000491203</v>
      </c>
      <c r="K607" s="70"/>
      <c r="L607" s="70">
        <f t="shared" si="433"/>
        <v>-4</v>
      </c>
      <c r="M607" s="70">
        <f>IFERROR(AL6+SQRT(N$17^2-(AM6-N15)^2),-4)</f>
        <v>-4</v>
      </c>
      <c r="N607" s="70"/>
      <c r="O607" s="70">
        <f t="shared" si="434"/>
        <v>-4</v>
      </c>
      <c r="P607" s="70">
        <f>IFERROR(AL6+SQRT(Q$17^2-(AM6-Q15)^2),-4)</f>
        <v>-4</v>
      </c>
      <c r="Q607" s="70"/>
      <c r="R607" s="70">
        <f t="shared" si="435"/>
        <v>-4</v>
      </c>
      <c r="S607" s="70">
        <f>IFERROR(AL6+SQRT(T$17^2-(AM6-T15)^2),-4)</f>
        <v>-4</v>
      </c>
      <c r="T607" s="70"/>
      <c r="U607" s="70">
        <f t="shared" si="436"/>
        <v>-4</v>
      </c>
      <c r="V607" s="70">
        <f>IFERROR(AL6+SQRT(W$17^2-(AM6-W15)^2),-4)</f>
        <v>-4</v>
      </c>
      <c r="W607" s="70"/>
      <c r="X607" s="70">
        <f t="shared" si="437"/>
        <v>-4</v>
      </c>
      <c r="Y607" s="70">
        <f>IFERROR(AL6+SQRT(Z$17^2-(AM6-Z15)^2),-4)</f>
        <v>-4</v>
      </c>
      <c r="Z607" s="70"/>
      <c r="AA607" s="70">
        <f t="shared" si="438"/>
        <v>-4</v>
      </c>
      <c r="AB607" s="70">
        <f>IFERROR(AL6+SQRT(AC$17^2-(AM6-AC15)^2),-4)</f>
        <v>-4</v>
      </c>
      <c r="AC607" s="70"/>
    </row>
    <row r="608" spans="1:29" s="2" customFormat="1">
      <c r="A608" s="70"/>
      <c r="B608" s="70"/>
      <c r="C608" s="70">
        <f t="shared" si="430"/>
        <v>-4</v>
      </c>
      <c r="D608" s="70">
        <f>IFERROR(AL6+SQRT($E$17^2-(AM6-E16)^2),-4)</f>
        <v>-4</v>
      </c>
      <c r="E608" s="70"/>
      <c r="F608" s="70">
        <f t="shared" si="431"/>
        <v>0</v>
      </c>
      <c r="G608" s="70">
        <f>IFERROR(AL6+SQRT(H$17^2-(AM6-H16)^2),-4)</f>
        <v>5.0712584000491203</v>
      </c>
      <c r="H608" s="70"/>
      <c r="I608" s="70">
        <f t="shared" si="432"/>
        <v>0</v>
      </c>
      <c r="J608" s="70">
        <f>IFERROR(AL6+SQRT(K$17^2-(AM6-K16)^2),-4)</f>
        <v>5.0712584000491203</v>
      </c>
      <c r="K608" s="70"/>
      <c r="L608" s="70">
        <f t="shared" si="433"/>
        <v>-4</v>
      </c>
      <c r="M608" s="70">
        <f>IFERROR(AL6+SQRT(N$17^2-(AM6-N16)^2),-4)</f>
        <v>-4</v>
      </c>
      <c r="N608" s="70"/>
      <c r="O608" s="70">
        <f t="shared" si="434"/>
        <v>-4</v>
      </c>
      <c r="P608" s="70">
        <f>IFERROR(AL6+SQRT(Q$17^2-(AM6-Q16)^2),-4)</f>
        <v>-4</v>
      </c>
      <c r="Q608" s="70"/>
      <c r="R608" s="70">
        <f t="shared" si="435"/>
        <v>-4</v>
      </c>
      <c r="S608" s="70">
        <f>IFERROR(AL6+SQRT(T$17^2-(AM6-T16)^2),-4)</f>
        <v>-4</v>
      </c>
      <c r="T608" s="70"/>
      <c r="U608" s="70">
        <f t="shared" si="436"/>
        <v>-4</v>
      </c>
      <c r="V608" s="70">
        <f>IFERROR(AL6+SQRT(W$17^2-(AM6-W16)^2),-4)</f>
        <v>-4</v>
      </c>
      <c r="W608" s="70"/>
      <c r="X608" s="70">
        <f t="shared" si="437"/>
        <v>-4</v>
      </c>
      <c r="Y608" s="70">
        <f>IFERROR(AL6+SQRT(Z$17^2-(AM6-Z16)^2),-4)</f>
        <v>-4</v>
      </c>
      <c r="Z608" s="70"/>
      <c r="AA608" s="70">
        <f t="shared" si="438"/>
        <v>-4</v>
      </c>
      <c r="AB608" s="70">
        <f>IFERROR(AL6+SQRT(AC$17^2-(AM6-AC16)^2),-4)</f>
        <v>-4</v>
      </c>
      <c r="AC608" s="70"/>
    </row>
    <row r="609" spans="1:29" s="2" customFormat="1">
      <c r="A609" s="70"/>
      <c r="B609" s="70"/>
      <c r="C609" s="70">
        <f t="shared" ref="C609:C616" si="439">IF($A$13,IF(D609&gt;D9,D9,D609),-4)</f>
        <v>-4</v>
      </c>
      <c r="D609" s="70">
        <f>IFERROR(AL6+SQRT($E$17^2-(AM7-E9)^2),-4)</f>
        <v>-4</v>
      </c>
      <c r="E609" s="70"/>
      <c r="F609" s="70">
        <f t="shared" ref="F609:F616" si="440">IF($A$13,IF(G609&gt;G9,G9,G609),-4)</f>
        <v>-4</v>
      </c>
      <c r="G609" s="70">
        <f>IFERROR(AL6+SQRT(H$17^2-(AM7-H9)^2),-4)</f>
        <v>-4</v>
      </c>
      <c r="H609" s="70"/>
      <c r="I609" s="70">
        <f t="shared" ref="I609:I616" si="441">IF($A$13,IF(J609&gt;J9,J9,J609),-4)</f>
        <v>-4</v>
      </c>
      <c r="J609" s="70">
        <f>IFERROR(AL6+SQRT(K$17^2-(AM7-K9)^2),-4)</f>
        <v>-4</v>
      </c>
      <c r="K609" s="70"/>
      <c r="L609" s="70">
        <f t="shared" ref="L609:L616" si="442">IF($A$13,IF(M609&gt;M9,M9,M609),-4)</f>
        <v>-4</v>
      </c>
      <c r="M609" s="70">
        <f>IFERROR(AL6+SQRT(N$17^2-(AM7-N9)^2),-4)</f>
        <v>-4</v>
      </c>
      <c r="N609" s="70"/>
      <c r="O609" s="70">
        <f t="shared" ref="O609:O616" si="443">IF($A$13,IF(P609&gt;P9,P9,P609),-4)</f>
        <v>-4</v>
      </c>
      <c r="P609" s="70">
        <f>IFERROR(AL6+SQRT(Q$17^2-(AM7-Q9)^2),-4)</f>
        <v>-4</v>
      </c>
      <c r="Q609" s="70"/>
      <c r="R609" s="70">
        <f t="shared" ref="R609:R616" si="444">IF($A$13,IF(S609&gt;S9,S9,S609),-4)</f>
        <v>-4</v>
      </c>
      <c r="S609" s="70">
        <f>IFERROR(AL6+SQRT(T$17^2-(AM7-T9)^2),-4)</f>
        <v>-4</v>
      </c>
      <c r="T609" s="70"/>
      <c r="U609" s="70">
        <f t="shared" ref="U609:U616" si="445">IF($A$13,IF(V609&gt;V9,V9,V609),-4)</f>
        <v>-4</v>
      </c>
      <c r="V609" s="70">
        <f>IFERROR(AL6+SQRT(W$17^2-(AM7-W9)^2),-4)</f>
        <v>-4</v>
      </c>
      <c r="W609" s="70"/>
      <c r="X609" s="70">
        <f t="shared" ref="X609:X616" si="446">IF($A$13,IF(Y609&gt;Y9,Y9,Y609),-4)</f>
        <v>-4</v>
      </c>
      <c r="Y609" s="70">
        <f>IFERROR(AL6+SQRT(Z$17^2-(AM7-Z9)^2),-4)</f>
        <v>-4</v>
      </c>
      <c r="Z609" s="70"/>
      <c r="AA609" s="70">
        <f t="shared" ref="AA609:AA616" si="447">IF($A$13,IF(AB609&gt;AB9,AB9,AB609),-4)</f>
        <v>-4</v>
      </c>
      <c r="AB609" s="70">
        <f>IFERROR(AL6+SQRT(AC$17^2-(AM7-AC9)^2),-4)</f>
        <v>-4</v>
      </c>
      <c r="AC609" s="70"/>
    </row>
    <row r="610" spans="1:29" s="2" customFormat="1">
      <c r="A610" s="70"/>
      <c r="B610" s="70" t="s">
        <v>230</v>
      </c>
      <c r="C610" s="70">
        <f t="shared" si="439"/>
        <v>-4</v>
      </c>
      <c r="D610" s="70">
        <f>IFERROR(AL6+SQRT($E$17^2-(AM7-E10)^2),-4)</f>
        <v>-4</v>
      </c>
      <c r="E610" s="70"/>
      <c r="F610" s="70">
        <f t="shared" si="440"/>
        <v>-4</v>
      </c>
      <c r="G610" s="70">
        <f>IFERROR(AL6+SQRT(H$17^2-(AM7-H10)^2),-4)</f>
        <v>-4</v>
      </c>
      <c r="H610" s="70"/>
      <c r="I610" s="70">
        <f t="shared" si="441"/>
        <v>-4</v>
      </c>
      <c r="J610" s="70">
        <f>IFERROR(AL6+SQRT(K$17^2-(AM7-K10)^2),-4)</f>
        <v>-4</v>
      </c>
      <c r="K610" s="70"/>
      <c r="L610" s="70">
        <f t="shared" si="442"/>
        <v>-4</v>
      </c>
      <c r="M610" s="70">
        <f>IFERROR(AL6+SQRT(N$17^2-(AM7-N10)^2),-4)</f>
        <v>-4</v>
      </c>
      <c r="N610" s="70"/>
      <c r="O610" s="70">
        <f t="shared" si="443"/>
        <v>-4</v>
      </c>
      <c r="P610" s="70">
        <f>IFERROR(AL6+SQRT(Q$17^2-(AM7-Q10)^2),-4)</f>
        <v>-4</v>
      </c>
      <c r="Q610" s="70"/>
      <c r="R610" s="70">
        <f t="shared" si="444"/>
        <v>-4</v>
      </c>
      <c r="S610" s="70">
        <f>IFERROR(AL6+SQRT(T$17^2-(AM7-T10)^2),-4)</f>
        <v>-4</v>
      </c>
      <c r="T610" s="70"/>
      <c r="U610" s="70">
        <f t="shared" si="445"/>
        <v>-4</v>
      </c>
      <c r="V610" s="70">
        <f>IFERROR(AL6+SQRT(W$17^2-(AM7-W10)^2),-4)</f>
        <v>-4</v>
      </c>
      <c r="W610" s="70"/>
      <c r="X610" s="70">
        <f t="shared" si="446"/>
        <v>-4</v>
      </c>
      <c r="Y610" s="70">
        <f>IFERROR(AL6+SQRT(Z$17^2-(AM7-Z10)^2),-4)</f>
        <v>-4</v>
      </c>
      <c r="Z610" s="70"/>
      <c r="AA610" s="70">
        <f t="shared" si="447"/>
        <v>-4</v>
      </c>
      <c r="AB610" s="70">
        <f>IFERROR(AL6+SQRT(AC$17^2-(AM7-AC10)^2),-4)</f>
        <v>-4</v>
      </c>
      <c r="AC610" s="70"/>
    </row>
    <row r="611" spans="1:29" s="2" customFormat="1">
      <c r="A611" s="70"/>
      <c r="B611" s="70"/>
      <c r="C611" s="70">
        <f t="shared" si="439"/>
        <v>-4</v>
      </c>
      <c r="D611" s="70">
        <f>IFERROR(AL6+SQRT($E$17^2-(AM7-E11)^2),-4)</f>
        <v>-4</v>
      </c>
      <c r="E611" s="70"/>
      <c r="F611" s="70">
        <f t="shared" si="440"/>
        <v>-4</v>
      </c>
      <c r="G611" s="70">
        <f>IFERROR(AL6+SQRT(H$17^2-(AM7-H11)^2),-4)</f>
        <v>-4</v>
      </c>
      <c r="H611" s="70"/>
      <c r="I611" s="70">
        <f t="shared" si="441"/>
        <v>-4</v>
      </c>
      <c r="J611" s="70">
        <f>IFERROR(AL6+SQRT(K$17^2-(AM7-K11)^2),-4)</f>
        <v>-4</v>
      </c>
      <c r="K611" s="70"/>
      <c r="L611" s="70">
        <f t="shared" si="442"/>
        <v>-4</v>
      </c>
      <c r="M611" s="70">
        <f>IFERROR(AL6+SQRT(N$17^2-(AM7-N11)^2),-4)</f>
        <v>-4</v>
      </c>
      <c r="N611" s="70"/>
      <c r="O611" s="70">
        <f t="shared" si="443"/>
        <v>-4</v>
      </c>
      <c r="P611" s="70">
        <f>IFERROR(AL6+SQRT(Q$17^2-(AM7-Q11)^2),-4)</f>
        <v>-4</v>
      </c>
      <c r="Q611" s="70"/>
      <c r="R611" s="70">
        <f t="shared" si="444"/>
        <v>-4</v>
      </c>
      <c r="S611" s="70">
        <f>IFERROR(AL6+SQRT(T$17^2-(AM7-T11)^2),-4)</f>
        <v>-4</v>
      </c>
      <c r="T611" s="70"/>
      <c r="U611" s="70">
        <f t="shared" si="445"/>
        <v>-4</v>
      </c>
      <c r="V611" s="70">
        <f>IFERROR(AL6+SQRT(W$17^2-(AM7-W11)^2),-4)</f>
        <v>-4</v>
      </c>
      <c r="W611" s="70"/>
      <c r="X611" s="70">
        <f t="shared" si="446"/>
        <v>-4</v>
      </c>
      <c r="Y611" s="70">
        <f>IFERROR(AL6+SQRT(Z$17^2-(AM7-Z11)^2),-4)</f>
        <v>-4</v>
      </c>
      <c r="Z611" s="70"/>
      <c r="AA611" s="70">
        <f t="shared" si="447"/>
        <v>-4</v>
      </c>
      <c r="AB611" s="70">
        <f>IFERROR(AL6+SQRT(AC$17^2-(AM7-AC11)^2),-4)</f>
        <v>-4</v>
      </c>
      <c r="AC611" s="70"/>
    </row>
    <row r="612" spans="1:29" s="2" customFormat="1">
      <c r="A612" s="70"/>
      <c r="B612" s="70"/>
      <c r="C612" s="70">
        <f t="shared" si="439"/>
        <v>-4</v>
      </c>
      <c r="D612" s="70">
        <f>IFERROR(AL6+SQRT($E$17^2-(AM7-E12)^2),-4)</f>
        <v>-4</v>
      </c>
      <c r="E612" s="70"/>
      <c r="F612" s="70">
        <f t="shared" si="440"/>
        <v>-4</v>
      </c>
      <c r="G612" s="70">
        <f>IFERROR(AL6+SQRT(H$17^2-(AM7-H12)^2),-4)</f>
        <v>-4</v>
      </c>
      <c r="H612" s="70"/>
      <c r="I612" s="70">
        <f t="shared" si="441"/>
        <v>-4</v>
      </c>
      <c r="J612" s="70">
        <f>IFERROR(AL6+SQRT(K$17^2-(AM7-K12)^2),-4)</f>
        <v>-4</v>
      </c>
      <c r="K612" s="70"/>
      <c r="L612" s="70">
        <f t="shared" si="442"/>
        <v>-4</v>
      </c>
      <c r="M612" s="70">
        <f>IFERROR(AL6+SQRT(N$17^2-(AM7-N12)^2),-4)</f>
        <v>-4</v>
      </c>
      <c r="N612" s="70"/>
      <c r="O612" s="70">
        <f t="shared" si="443"/>
        <v>-4</v>
      </c>
      <c r="P612" s="70">
        <f>IFERROR(AL6+SQRT(Q$17^2-(AM7-Q12)^2),-4)</f>
        <v>-4</v>
      </c>
      <c r="Q612" s="70"/>
      <c r="R612" s="70">
        <f t="shared" si="444"/>
        <v>-4</v>
      </c>
      <c r="S612" s="70">
        <f>IFERROR(AL6+SQRT(T$17^2-(AM7-T12)^2),-4)</f>
        <v>-4</v>
      </c>
      <c r="T612" s="70"/>
      <c r="U612" s="70">
        <f t="shared" si="445"/>
        <v>-4</v>
      </c>
      <c r="V612" s="70">
        <f>IFERROR(AL6+SQRT(W$17^2-(AM7-W12)^2),-4)</f>
        <v>-4</v>
      </c>
      <c r="W612" s="70"/>
      <c r="X612" s="70">
        <f t="shared" si="446"/>
        <v>-4</v>
      </c>
      <c r="Y612" s="70">
        <f>IFERROR(AL6+SQRT(Z$17^2-(AM7-Z12)^2),-4)</f>
        <v>-4</v>
      </c>
      <c r="Z612" s="70"/>
      <c r="AA612" s="70">
        <f t="shared" si="447"/>
        <v>-4</v>
      </c>
      <c r="AB612" s="70">
        <f>IFERROR(AL6+SQRT(AC$17^2-(AM7-AC12)^2),-4)</f>
        <v>-4</v>
      </c>
      <c r="AC612" s="70"/>
    </row>
    <row r="613" spans="1:29" s="2" customFormat="1">
      <c r="A613" s="70"/>
      <c r="B613" s="70"/>
      <c r="C613" s="70">
        <f t="shared" si="439"/>
        <v>-4</v>
      </c>
      <c r="D613" s="70">
        <f>IFERROR(AL6+SQRT($E$17^2-(AM7-E13)^2),-4)</f>
        <v>-4</v>
      </c>
      <c r="E613" s="70"/>
      <c r="F613" s="70">
        <f t="shared" si="440"/>
        <v>-4</v>
      </c>
      <c r="G613" s="70">
        <f>IFERROR(AL6+SQRT(H$17^2-(AM7-H13)^2),-4)</f>
        <v>-4</v>
      </c>
      <c r="H613" s="70"/>
      <c r="I613" s="70">
        <f t="shared" si="441"/>
        <v>-4</v>
      </c>
      <c r="J613" s="70">
        <f>IFERROR(AL6+SQRT(K$17^2-(AM7-K13)^2),-4)</f>
        <v>-4</v>
      </c>
      <c r="K613" s="70"/>
      <c r="L613" s="70">
        <f t="shared" si="442"/>
        <v>-4</v>
      </c>
      <c r="M613" s="70">
        <f>IFERROR(AL6+SQRT(N$17^2-(AM7-N13)^2),-4)</f>
        <v>-4</v>
      </c>
      <c r="N613" s="70"/>
      <c r="O613" s="70">
        <f t="shared" si="443"/>
        <v>-4</v>
      </c>
      <c r="P613" s="70">
        <f>IFERROR(AL6+SQRT(Q$17^2-(AM7-Q13)^2),-4)</f>
        <v>-4</v>
      </c>
      <c r="Q613" s="70"/>
      <c r="R613" s="70">
        <f t="shared" si="444"/>
        <v>-4</v>
      </c>
      <c r="S613" s="70">
        <f>IFERROR(AL6+SQRT(T$17^2-(AM7-T13)^2),-4)</f>
        <v>-4</v>
      </c>
      <c r="T613" s="70"/>
      <c r="U613" s="70">
        <f t="shared" si="445"/>
        <v>-4</v>
      </c>
      <c r="V613" s="70">
        <f>IFERROR(AL6+SQRT(W$17^2-(AM7-W13)^2),-4)</f>
        <v>-4</v>
      </c>
      <c r="W613" s="70"/>
      <c r="X613" s="70">
        <f t="shared" si="446"/>
        <v>-4</v>
      </c>
      <c r="Y613" s="70">
        <f>IFERROR(AL6+SQRT(Z$17^2-(AM7-Z13)^2),-4)</f>
        <v>-4</v>
      </c>
      <c r="Z613" s="70"/>
      <c r="AA613" s="70">
        <f t="shared" si="447"/>
        <v>-4</v>
      </c>
      <c r="AB613" s="70">
        <f>IFERROR(AL6+SQRT(AC$17^2-(AM7-AC13)^2),-4)</f>
        <v>-4</v>
      </c>
      <c r="AC613" s="70"/>
    </row>
    <row r="614" spans="1:29" s="2" customFormat="1">
      <c r="A614" s="70"/>
      <c r="B614" s="70"/>
      <c r="C614" s="70">
        <f t="shared" si="439"/>
        <v>-4</v>
      </c>
      <c r="D614" s="70">
        <f>IFERROR(AL6+SQRT($E$17^2-(AM7-E14)^2),-4)</f>
        <v>-4</v>
      </c>
      <c r="E614" s="70"/>
      <c r="F614" s="70">
        <f t="shared" si="440"/>
        <v>-4</v>
      </c>
      <c r="G614" s="70">
        <f>IFERROR(AL6+SQRT(H$17^2-(AM7-H14)^2),-4)</f>
        <v>-4</v>
      </c>
      <c r="H614" s="70"/>
      <c r="I614" s="70">
        <f t="shared" si="441"/>
        <v>-4</v>
      </c>
      <c r="J614" s="70">
        <f>IFERROR(AL6+SQRT(K$17^2-(AM7-K14)^2),-4)</f>
        <v>-4</v>
      </c>
      <c r="K614" s="70"/>
      <c r="L614" s="70">
        <f t="shared" si="442"/>
        <v>-4</v>
      </c>
      <c r="M614" s="70">
        <f>IFERROR(AL6+SQRT(N$17^2-(AM7-N14)^2),-4)</f>
        <v>-4</v>
      </c>
      <c r="N614" s="70"/>
      <c r="O614" s="70">
        <f t="shared" si="443"/>
        <v>-4</v>
      </c>
      <c r="P614" s="70">
        <f>IFERROR(AL6+SQRT(Q$17^2-(AM7-Q14)^2),-4)</f>
        <v>-4</v>
      </c>
      <c r="Q614" s="70"/>
      <c r="R614" s="70">
        <f t="shared" si="444"/>
        <v>-4</v>
      </c>
      <c r="S614" s="70">
        <f>IFERROR(AL6+SQRT(T$17^2-(AM7-T14)^2),-4)</f>
        <v>-4</v>
      </c>
      <c r="T614" s="70"/>
      <c r="U614" s="70">
        <f t="shared" si="445"/>
        <v>-4</v>
      </c>
      <c r="V614" s="70">
        <f>IFERROR(AL6+SQRT(W$17^2-(AM7-W14)^2),-4)</f>
        <v>-4</v>
      </c>
      <c r="W614" s="70"/>
      <c r="X614" s="70">
        <f t="shared" si="446"/>
        <v>-4</v>
      </c>
      <c r="Y614" s="70">
        <f>IFERROR(AL6+SQRT(Z$17^2-(AM7-Z14)^2),-4)</f>
        <v>-4</v>
      </c>
      <c r="Z614" s="70"/>
      <c r="AA614" s="70">
        <f t="shared" si="447"/>
        <v>-4</v>
      </c>
      <c r="AB614" s="70">
        <f>IFERROR(AL6+SQRT(AC$17^2-(AM7-AC14)^2),-4)</f>
        <v>-4</v>
      </c>
      <c r="AC614" s="70"/>
    </row>
    <row r="615" spans="1:29" s="2" customFormat="1">
      <c r="A615" s="70"/>
      <c r="B615" s="70"/>
      <c r="C615" s="70">
        <f t="shared" si="439"/>
        <v>-4</v>
      </c>
      <c r="D615" s="70">
        <f>IFERROR(AL6+SQRT($E$17^2-(AM7-E15)^2),-4)</f>
        <v>-4</v>
      </c>
      <c r="E615" s="70"/>
      <c r="F615" s="70">
        <f t="shared" si="440"/>
        <v>-4</v>
      </c>
      <c r="G615" s="70">
        <f>IFERROR(AL6+SQRT(H$17^2-(AM7-H15)^2),-4)</f>
        <v>-4</v>
      </c>
      <c r="H615" s="70"/>
      <c r="I615" s="70">
        <f t="shared" si="441"/>
        <v>-4</v>
      </c>
      <c r="J615" s="70">
        <f>IFERROR(AL6+SQRT(K$17^2-(AM7-K15)^2),-4)</f>
        <v>-4</v>
      </c>
      <c r="K615" s="70"/>
      <c r="L615" s="70">
        <f t="shared" si="442"/>
        <v>-4</v>
      </c>
      <c r="M615" s="70">
        <f>IFERROR(AL6+SQRT(N$17^2-(AM7-N15)^2),-4)</f>
        <v>-4</v>
      </c>
      <c r="N615" s="70"/>
      <c r="O615" s="70">
        <f t="shared" si="443"/>
        <v>-4</v>
      </c>
      <c r="P615" s="70">
        <f>IFERROR(AL6+SQRT(Q$17^2-(AM7-Q15)^2),-4)</f>
        <v>-4</v>
      </c>
      <c r="Q615" s="70"/>
      <c r="R615" s="70">
        <f t="shared" si="444"/>
        <v>-4</v>
      </c>
      <c r="S615" s="70">
        <f>IFERROR(AL6+SQRT(T$17^2-(AM7-T15)^2),-4)</f>
        <v>-4</v>
      </c>
      <c r="T615" s="70"/>
      <c r="U615" s="70">
        <f t="shared" si="445"/>
        <v>-4</v>
      </c>
      <c r="V615" s="70">
        <f>IFERROR(AL6+SQRT(W$17^2-(AM7-W15)^2),-4)</f>
        <v>-4</v>
      </c>
      <c r="W615" s="70"/>
      <c r="X615" s="70">
        <f t="shared" si="446"/>
        <v>-4</v>
      </c>
      <c r="Y615" s="70">
        <f>IFERROR(AL6+SQRT(Z$17^2-(AM7-Z15)^2),-4)</f>
        <v>-4</v>
      </c>
      <c r="Z615" s="70"/>
      <c r="AA615" s="70">
        <f t="shared" si="447"/>
        <v>-4</v>
      </c>
      <c r="AB615" s="70">
        <f>IFERROR(AL6+SQRT(AC$17^2-(AM7-AC15)^2),-4)</f>
        <v>-4</v>
      </c>
      <c r="AC615" s="70"/>
    </row>
    <row r="616" spans="1:29" s="2" customFormat="1">
      <c r="A616" s="70"/>
      <c r="B616" s="70"/>
      <c r="C616" s="70">
        <f t="shared" si="439"/>
        <v>-4</v>
      </c>
      <c r="D616" s="70">
        <f>IFERROR(AL6+SQRT($E$17^2-(AM7-E16)^2),-4)</f>
        <v>-4</v>
      </c>
      <c r="E616" s="70"/>
      <c r="F616" s="70">
        <f t="shared" si="440"/>
        <v>-4</v>
      </c>
      <c r="G616" s="70">
        <f>IFERROR(AL6+SQRT(H$17^2-(AM7-H16)^2),-4)</f>
        <v>-4</v>
      </c>
      <c r="H616" s="70"/>
      <c r="I616" s="70">
        <f t="shared" si="441"/>
        <v>-4</v>
      </c>
      <c r="J616" s="70">
        <f>IFERROR(AL6+SQRT(K$17^2-(AM7-K16)^2),-4)</f>
        <v>-4</v>
      </c>
      <c r="K616" s="70"/>
      <c r="L616" s="70">
        <f t="shared" si="442"/>
        <v>-4</v>
      </c>
      <c r="M616" s="70">
        <f>IFERROR(AL6+SQRT(N$17^2-(AM7-N16)^2),-4)</f>
        <v>-4</v>
      </c>
      <c r="N616" s="70"/>
      <c r="O616" s="70">
        <f t="shared" si="443"/>
        <v>-4</v>
      </c>
      <c r="P616" s="70">
        <f>IFERROR(AL6+SQRT(Q$17^2-(AM7-Q16)^2),-4)</f>
        <v>-4</v>
      </c>
      <c r="Q616" s="70"/>
      <c r="R616" s="70">
        <f t="shared" si="444"/>
        <v>-4</v>
      </c>
      <c r="S616" s="70">
        <f>IFERROR(AL6+SQRT(T$17^2-(AM7-T16)^2),-4)</f>
        <v>-4</v>
      </c>
      <c r="T616" s="70"/>
      <c r="U616" s="70">
        <f t="shared" si="445"/>
        <v>-4</v>
      </c>
      <c r="V616" s="70">
        <f>IFERROR(AL6+SQRT(W$17^2-(AM7-W16)^2),-4)</f>
        <v>-4</v>
      </c>
      <c r="W616" s="70"/>
      <c r="X616" s="70">
        <f t="shared" si="446"/>
        <v>-4</v>
      </c>
      <c r="Y616" s="70">
        <f>IFERROR(AL6+SQRT(Z$17^2-(AM7-Z16)^2),-4)</f>
        <v>-4</v>
      </c>
      <c r="Z616" s="70"/>
      <c r="AA616" s="70">
        <f t="shared" si="447"/>
        <v>-4</v>
      </c>
      <c r="AB616" s="70">
        <f>IFERROR(AL6+SQRT(AC$17^2-(AM7-AC16)^2),-4)</f>
        <v>-4</v>
      </c>
      <c r="AC616" s="70"/>
    </row>
    <row r="617" spans="1:29" s="2" customFormat="1">
      <c r="A617" s="70"/>
      <c r="B617" s="70"/>
      <c r="C617" s="70">
        <f t="shared" ref="C617:C624" si="448">IF($A$8,IF(D617&gt;D9,D9,D617),-4)</f>
        <v>-4</v>
      </c>
      <c r="D617" s="70">
        <f>IFERROR(AL7+SQRT(E$17^2-(AM5-E9)^2),-4)</f>
        <v>-4</v>
      </c>
      <c r="E617" s="70"/>
      <c r="F617" s="70">
        <f t="shared" ref="F617:F624" si="449">IF($A$8,IF(G617&gt;G9,G9,G617),-4)</f>
        <v>0</v>
      </c>
      <c r="G617" s="70">
        <f>IFERROR(AL7+SQRT(H$17^2-(AM5-H9)^2),-4)</f>
        <v>9.0993249620269765</v>
      </c>
      <c r="H617" s="70"/>
      <c r="I617" s="70">
        <f t="shared" ref="I617:I624" si="450">IF($A$8,IF(J617&gt;J9,J9,J617),-4)</f>
        <v>0</v>
      </c>
      <c r="J617" s="70">
        <f>IFERROR(AL7+SQRT(K$17^2-(AM5-K9)^2),-4)</f>
        <v>9.0993249620269765</v>
      </c>
      <c r="K617" s="70"/>
      <c r="L617" s="70">
        <f t="shared" ref="L617:L624" si="451">IF($A$8,IF(M617&gt;M9,M9,M617),-4)</f>
        <v>-4</v>
      </c>
      <c r="M617" s="70">
        <f>IFERROR(AL7+SQRT(N$17^2-(AM5-N9)^2),-4)</f>
        <v>-4</v>
      </c>
      <c r="N617" s="70"/>
      <c r="O617" s="70">
        <f t="shared" ref="O617:O624" si="452">IF($A$8,IF(P617&gt;P9,P9,P617),-4)</f>
        <v>-4</v>
      </c>
      <c r="P617" s="70">
        <f>IFERROR(AL7+SQRT(Q$17^2-(AM5-Q9)^2),-4)</f>
        <v>-4</v>
      </c>
      <c r="Q617" s="70"/>
      <c r="R617" s="70">
        <f t="shared" ref="R617:R624" si="453">IF($A$8,IF(S617&gt;S9,S9,S617),-4)</f>
        <v>-4</v>
      </c>
      <c r="S617" s="70">
        <f>IFERROR(AL7+SQRT(T$17^2-(AM5-T9)^2),-4)</f>
        <v>-4</v>
      </c>
      <c r="T617" s="70"/>
      <c r="U617" s="70">
        <f t="shared" ref="U617:U624" si="454">IF($A$8,IF(V617&gt;V9,V9,V617),-4)</f>
        <v>-4</v>
      </c>
      <c r="V617" s="70">
        <f>IFERROR(AL7+SQRT(W$17^2-(AM5-W9)^2),-4)</f>
        <v>-4</v>
      </c>
      <c r="W617" s="70"/>
      <c r="X617" s="70">
        <f t="shared" ref="X617:X624" si="455">IF($A$8,IF(Y617&gt;Y9,Y9,Y617),-4)</f>
        <v>-4</v>
      </c>
      <c r="Y617" s="70">
        <f>IFERROR(AL7+SQRT(Z$17^2-(AM5-Z9)^2),-4)</f>
        <v>-4</v>
      </c>
      <c r="Z617" s="70"/>
      <c r="AA617" s="70">
        <f t="shared" ref="AA617:AA624" si="456">IF($A$8,IF(AB617&gt;AB9,AB9,AB617),-4)</f>
        <v>-4</v>
      </c>
      <c r="AB617" s="70">
        <f>IFERROR(AL7+SQRT(AC$17^2-(AM5-AC9)^2),-4)</f>
        <v>-4</v>
      </c>
      <c r="AC617" s="70"/>
    </row>
    <row r="618" spans="1:29" s="2" customFormat="1">
      <c r="A618" s="70"/>
      <c r="B618" s="70" t="s">
        <v>231</v>
      </c>
      <c r="C618" s="70">
        <f t="shared" si="448"/>
        <v>-4</v>
      </c>
      <c r="D618" s="70">
        <f>IFERROR(AL7+SQRT(E$17^2-(AM5-E10)^2),-4)</f>
        <v>-4</v>
      </c>
      <c r="E618" s="70"/>
      <c r="F618" s="70">
        <f t="shared" si="449"/>
        <v>0</v>
      </c>
      <c r="G618" s="70">
        <f>IFERROR(AL7+SQRT(H$17^2-(AM5-H10)^2),-4)</f>
        <v>9.0993249620269765</v>
      </c>
      <c r="H618" s="70"/>
      <c r="I618" s="70">
        <f t="shared" si="450"/>
        <v>0</v>
      </c>
      <c r="J618" s="70">
        <f>IFERROR(AL7+SQRT(K$17^2-(AM5-K10)^2),-4)</f>
        <v>9.0993249620269765</v>
      </c>
      <c r="K618" s="70"/>
      <c r="L618" s="70">
        <f t="shared" si="451"/>
        <v>-4</v>
      </c>
      <c r="M618" s="70">
        <f>IFERROR(AL7+SQRT(N$17^2-(AM5-N10)^2),-4)</f>
        <v>-4</v>
      </c>
      <c r="N618" s="70"/>
      <c r="O618" s="70">
        <f t="shared" si="452"/>
        <v>-4</v>
      </c>
      <c r="P618" s="70">
        <f>IFERROR(AL7+SQRT(Q$17^2-(AM5-Q10)^2),-4)</f>
        <v>-4</v>
      </c>
      <c r="Q618" s="70"/>
      <c r="R618" s="70">
        <f t="shared" si="453"/>
        <v>-4</v>
      </c>
      <c r="S618" s="70">
        <f>IFERROR(AL7+SQRT(T$17^2-(AM5-T10)^2),-4)</f>
        <v>-4</v>
      </c>
      <c r="T618" s="70"/>
      <c r="U618" s="70">
        <f t="shared" si="454"/>
        <v>-4</v>
      </c>
      <c r="V618" s="70">
        <f>IFERROR(AL7+SQRT(W$17^2-(AM5-W10)^2),-4)</f>
        <v>-4</v>
      </c>
      <c r="W618" s="70"/>
      <c r="X618" s="70">
        <f t="shared" si="455"/>
        <v>-4</v>
      </c>
      <c r="Y618" s="70">
        <f>IFERROR(AL7+SQRT(Z$17^2-(AM5-Z10)^2),-4)</f>
        <v>-4</v>
      </c>
      <c r="Z618" s="70"/>
      <c r="AA618" s="70">
        <f t="shared" si="456"/>
        <v>-4</v>
      </c>
      <c r="AB618" s="70">
        <f>IFERROR(AL7+SQRT(AC$17^2-(AM5-AC10)^2),-4)</f>
        <v>-4</v>
      </c>
      <c r="AC618" s="70"/>
    </row>
    <row r="619" spans="1:29" s="2" customFormat="1">
      <c r="A619" s="70"/>
      <c r="B619" s="70"/>
      <c r="C619" s="70">
        <f t="shared" si="448"/>
        <v>-4</v>
      </c>
      <c r="D619" s="70">
        <f>IFERROR(AL7+SQRT(E$17^2-(AM5-E11)^2),-4)</f>
        <v>-4</v>
      </c>
      <c r="E619" s="70"/>
      <c r="F619" s="70">
        <f t="shared" si="449"/>
        <v>0</v>
      </c>
      <c r="G619" s="70">
        <f>IFERROR(AL7+SQRT(H$17^2-(AM5-H11)^2),-4)</f>
        <v>9.0993249620269765</v>
      </c>
      <c r="H619" s="70"/>
      <c r="I619" s="70">
        <f t="shared" si="450"/>
        <v>0</v>
      </c>
      <c r="J619" s="70">
        <f>IFERROR(AL7+SQRT(K$17^2-(AM5-K11)^2),-4)</f>
        <v>9.0993249620269765</v>
      </c>
      <c r="K619" s="70"/>
      <c r="L619" s="70">
        <f t="shared" si="451"/>
        <v>-4</v>
      </c>
      <c r="M619" s="70">
        <f>IFERROR(AL7+SQRT(N$17^2-(AM5-N11)^2),-4)</f>
        <v>-4</v>
      </c>
      <c r="N619" s="70"/>
      <c r="O619" s="70">
        <f t="shared" si="452"/>
        <v>-4</v>
      </c>
      <c r="P619" s="70">
        <f>IFERROR(AL7+SQRT(Q$17^2-(AM5-Q11)^2),-4)</f>
        <v>-4</v>
      </c>
      <c r="Q619" s="70"/>
      <c r="R619" s="70">
        <f t="shared" si="453"/>
        <v>-4</v>
      </c>
      <c r="S619" s="70">
        <f>IFERROR(AL7+SQRT(T$17^2-(AM5-T11)^2),-4)</f>
        <v>-4</v>
      </c>
      <c r="T619" s="70"/>
      <c r="U619" s="70">
        <f t="shared" si="454"/>
        <v>-4</v>
      </c>
      <c r="V619" s="70">
        <f>IFERROR(AL7+SQRT(W$17^2-(AM5-W11)^2),-4)</f>
        <v>-4</v>
      </c>
      <c r="W619" s="70"/>
      <c r="X619" s="70">
        <f t="shared" si="455"/>
        <v>-4</v>
      </c>
      <c r="Y619" s="70">
        <f>IFERROR(AL7+SQRT(Z$17^2-(AM5-Z11)^2),-4)</f>
        <v>-4</v>
      </c>
      <c r="Z619" s="70"/>
      <c r="AA619" s="70">
        <f t="shared" si="456"/>
        <v>-4</v>
      </c>
      <c r="AB619" s="70">
        <f>IFERROR(AL7+SQRT(AC$17^2-(AM5-AC11)^2),-4)</f>
        <v>-4</v>
      </c>
      <c r="AC619" s="70"/>
    </row>
    <row r="620" spans="1:29" s="2" customFormat="1">
      <c r="A620" s="70"/>
      <c r="B620" s="70"/>
      <c r="C620" s="70">
        <f t="shared" si="448"/>
        <v>-4</v>
      </c>
      <c r="D620" s="70">
        <f>IFERROR(AL7+SQRT(E$17^2-(AM5-E12)^2),-4)</f>
        <v>-4</v>
      </c>
      <c r="E620" s="70"/>
      <c r="F620" s="70">
        <f t="shared" si="449"/>
        <v>0</v>
      </c>
      <c r="G620" s="70">
        <f>IFERROR(AL7+SQRT(H$17^2-(AM5-H12)^2),-4)</f>
        <v>9.0993249620269765</v>
      </c>
      <c r="H620" s="70"/>
      <c r="I620" s="70">
        <f t="shared" si="450"/>
        <v>0</v>
      </c>
      <c r="J620" s="70">
        <f>IFERROR(AL7+SQRT(K$17^2-(AM5-K12)^2),-4)</f>
        <v>9.0993249620269765</v>
      </c>
      <c r="K620" s="70"/>
      <c r="L620" s="70">
        <f t="shared" si="451"/>
        <v>-4</v>
      </c>
      <c r="M620" s="70">
        <f>IFERROR(AL7+SQRT(N$17^2-(AM5-N12)^2),-4)</f>
        <v>-4</v>
      </c>
      <c r="N620" s="70"/>
      <c r="O620" s="70">
        <f t="shared" si="452"/>
        <v>-4</v>
      </c>
      <c r="P620" s="70">
        <f>IFERROR(AL7+SQRT(Q$17^2-(AM5-Q12)^2),-4)</f>
        <v>-4</v>
      </c>
      <c r="Q620" s="70"/>
      <c r="R620" s="70">
        <f t="shared" si="453"/>
        <v>-4</v>
      </c>
      <c r="S620" s="70">
        <f>IFERROR(AL7+SQRT(T$17^2-(AM5-T12)^2),-4)</f>
        <v>-4</v>
      </c>
      <c r="T620" s="70"/>
      <c r="U620" s="70">
        <f t="shared" si="454"/>
        <v>-4</v>
      </c>
      <c r="V620" s="70">
        <f>IFERROR(AL7+SQRT(W$17^2-(AM5-W12)^2),-4)</f>
        <v>-4</v>
      </c>
      <c r="W620" s="70"/>
      <c r="X620" s="70">
        <f t="shared" si="455"/>
        <v>-4</v>
      </c>
      <c r="Y620" s="70">
        <f>IFERROR(AL7+SQRT(Z$17^2-(AM5-Z12)^2),-4)</f>
        <v>-4</v>
      </c>
      <c r="Z620" s="70"/>
      <c r="AA620" s="70">
        <f t="shared" si="456"/>
        <v>-4</v>
      </c>
      <c r="AB620" s="70">
        <f>IFERROR(AL7+SQRT(AC$17^2-(AM5-AC12)^2),-4)</f>
        <v>-4</v>
      </c>
      <c r="AC620" s="70"/>
    </row>
    <row r="621" spans="1:29" s="2" customFormat="1">
      <c r="A621" s="70"/>
      <c r="B621" s="70"/>
      <c r="C621" s="70">
        <f t="shared" si="448"/>
        <v>-4</v>
      </c>
      <c r="D621" s="70">
        <f>IFERROR(AL7+SQRT(E$17^2-(AM5-E13)^2),-4)</f>
        <v>-4</v>
      </c>
      <c r="E621" s="70"/>
      <c r="F621" s="70">
        <f t="shared" si="449"/>
        <v>0</v>
      </c>
      <c r="G621" s="70">
        <f>IFERROR(AL7+SQRT(H$17^2-(AM5-H13)^2),-4)</f>
        <v>9.0993249620269765</v>
      </c>
      <c r="H621" s="70"/>
      <c r="I621" s="70">
        <f t="shared" si="450"/>
        <v>0</v>
      </c>
      <c r="J621" s="70">
        <f>IFERROR(AL7+SQRT(K$17^2-(AM5-K13)^2),-4)</f>
        <v>9.0993249620269765</v>
      </c>
      <c r="K621" s="70"/>
      <c r="L621" s="70">
        <f t="shared" si="451"/>
        <v>-4</v>
      </c>
      <c r="M621" s="70">
        <f>IFERROR(AL7+SQRT(N$17^2-(AM5-N13)^2),-4)</f>
        <v>-4</v>
      </c>
      <c r="N621" s="70"/>
      <c r="O621" s="70">
        <f t="shared" si="452"/>
        <v>-4</v>
      </c>
      <c r="P621" s="70">
        <f>IFERROR(AL7+SQRT(Q$17^2-(AM5-Q13)^2),-4)</f>
        <v>-4</v>
      </c>
      <c r="Q621" s="70"/>
      <c r="R621" s="70">
        <f t="shared" si="453"/>
        <v>-4</v>
      </c>
      <c r="S621" s="70">
        <f>IFERROR(AL7+SQRT(T$17^2-(AM5-T13)^2),-4)</f>
        <v>-4</v>
      </c>
      <c r="T621" s="70"/>
      <c r="U621" s="70">
        <f t="shared" si="454"/>
        <v>-4</v>
      </c>
      <c r="V621" s="70">
        <f>IFERROR(AL7+SQRT(W$17^2-(AM5-W13)^2),-4)</f>
        <v>-4</v>
      </c>
      <c r="W621" s="70"/>
      <c r="X621" s="70">
        <f t="shared" si="455"/>
        <v>-4</v>
      </c>
      <c r="Y621" s="70">
        <f>IFERROR(AL7+SQRT(Z$17^2-(AM5-Z13)^2),-4)</f>
        <v>-4</v>
      </c>
      <c r="Z621" s="70"/>
      <c r="AA621" s="70">
        <f t="shared" si="456"/>
        <v>-4</v>
      </c>
      <c r="AB621" s="70">
        <f>IFERROR(AL7+SQRT(AC$17^2-(AM5-AC13)^2),-4)</f>
        <v>-4</v>
      </c>
      <c r="AC621" s="70"/>
    </row>
    <row r="622" spans="1:29" s="2" customFormat="1">
      <c r="A622" s="70"/>
      <c r="B622" s="70"/>
      <c r="C622" s="70">
        <f t="shared" si="448"/>
        <v>-4</v>
      </c>
      <c r="D622" s="70">
        <f>IFERROR(AL7+SQRT(E$17^2-(AM5-E14)^2),-4)</f>
        <v>-4</v>
      </c>
      <c r="E622" s="70"/>
      <c r="F622" s="70">
        <f t="shared" si="449"/>
        <v>0</v>
      </c>
      <c r="G622" s="70">
        <f>IFERROR(AL7+SQRT(H$17^2-(AM5-H14)^2),-4)</f>
        <v>9.0993249620269765</v>
      </c>
      <c r="H622" s="70"/>
      <c r="I622" s="70">
        <f t="shared" si="450"/>
        <v>0</v>
      </c>
      <c r="J622" s="70">
        <f>IFERROR(AL7+SQRT(K$17^2-(AM5-K14)^2),-4)</f>
        <v>9.0993249620269765</v>
      </c>
      <c r="K622" s="70"/>
      <c r="L622" s="70">
        <f t="shared" si="451"/>
        <v>-4</v>
      </c>
      <c r="M622" s="70">
        <f>IFERROR(AL7+SQRT(N$17^2-(AM5-N14)^2),-4)</f>
        <v>-4</v>
      </c>
      <c r="N622" s="70"/>
      <c r="O622" s="70">
        <f t="shared" si="452"/>
        <v>-4</v>
      </c>
      <c r="P622" s="70">
        <f>IFERROR(AL7+SQRT(Q$17^2-(AM5-Q14)^2),-4)</f>
        <v>-4</v>
      </c>
      <c r="Q622" s="70"/>
      <c r="R622" s="70">
        <f t="shared" si="453"/>
        <v>-4</v>
      </c>
      <c r="S622" s="70">
        <f>IFERROR(AL7+SQRT(T$17^2-(AM5-T14)^2),-4)</f>
        <v>-4</v>
      </c>
      <c r="T622" s="70"/>
      <c r="U622" s="70">
        <f t="shared" si="454"/>
        <v>-4</v>
      </c>
      <c r="V622" s="70">
        <f>IFERROR(AL7+SQRT(W$17^2-(AM5-W14)^2),-4)</f>
        <v>-4</v>
      </c>
      <c r="W622" s="70"/>
      <c r="X622" s="70">
        <f t="shared" si="455"/>
        <v>-4</v>
      </c>
      <c r="Y622" s="70">
        <f>IFERROR(AL7+SQRT(Z$17^2-(AM5-Z14)^2),-4)</f>
        <v>-4</v>
      </c>
      <c r="Z622" s="70"/>
      <c r="AA622" s="70">
        <f t="shared" si="456"/>
        <v>-4</v>
      </c>
      <c r="AB622" s="70">
        <f>IFERROR(AL7+SQRT(AC$17^2-(AM5-AC14)^2),-4)</f>
        <v>-4</v>
      </c>
      <c r="AC622" s="70"/>
    </row>
    <row r="623" spans="1:29" s="2" customFormat="1">
      <c r="A623" s="70"/>
      <c r="B623" s="70"/>
      <c r="C623" s="70">
        <f t="shared" si="448"/>
        <v>-4</v>
      </c>
      <c r="D623" s="70">
        <f>IFERROR(AL7+SQRT(E$17^2-(AM5-E15)^2),-4)</f>
        <v>-4</v>
      </c>
      <c r="E623" s="70"/>
      <c r="F623" s="70">
        <f t="shared" si="449"/>
        <v>0</v>
      </c>
      <c r="G623" s="70">
        <f>IFERROR(AL7+SQRT(H$17^2-(AM5-H15)^2),-4)</f>
        <v>9.0993249620269765</v>
      </c>
      <c r="H623" s="70"/>
      <c r="I623" s="70">
        <f t="shared" si="450"/>
        <v>0</v>
      </c>
      <c r="J623" s="70">
        <f>IFERROR(AL7+SQRT(K$17^2-(AM5-K15)^2),-4)</f>
        <v>9.0993249620269765</v>
      </c>
      <c r="K623" s="70"/>
      <c r="L623" s="70">
        <f t="shared" si="451"/>
        <v>-4</v>
      </c>
      <c r="M623" s="70">
        <f>IFERROR(AL7+SQRT(N$17^2-(AM5-N15)^2),-4)</f>
        <v>-4</v>
      </c>
      <c r="N623" s="70"/>
      <c r="O623" s="70">
        <f t="shared" si="452"/>
        <v>-4</v>
      </c>
      <c r="P623" s="70">
        <f>IFERROR(AL7+SQRT(Q$17^2-(AM5-Q15)^2),-4)</f>
        <v>-4</v>
      </c>
      <c r="Q623" s="70"/>
      <c r="R623" s="70">
        <f t="shared" si="453"/>
        <v>-4</v>
      </c>
      <c r="S623" s="70">
        <f>IFERROR(AL7+SQRT(T$17^2-(AM5-T15)^2),-4)</f>
        <v>-4</v>
      </c>
      <c r="T623" s="70"/>
      <c r="U623" s="70">
        <f t="shared" si="454"/>
        <v>-4</v>
      </c>
      <c r="V623" s="70">
        <f>IFERROR(AL7+SQRT(W$17^2-(AM5-W15)^2),-4)</f>
        <v>-4</v>
      </c>
      <c r="W623" s="70"/>
      <c r="X623" s="70">
        <f t="shared" si="455"/>
        <v>-4</v>
      </c>
      <c r="Y623" s="70">
        <f>IFERROR(AL7+SQRT(Z$17^2-(AM5-Z15)^2),-4)</f>
        <v>-4</v>
      </c>
      <c r="Z623" s="70"/>
      <c r="AA623" s="70">
        <f t="shared" si="456"/>
        <v>-4</v>
      </c>
      <c r="AB623" s="70">
        <f>IFERROR(AL7+SQRT(AC$17^2-(AM5-AC15)^2),-4)</f>
        <v>-4</v>
      </c>
      <c r="AC623" s="70"/>
    </row>
    <row r="624" spans="1:29" s="2" customFormat="1">
      <c r="A624" s="70"/>
      <c r="B624" s="70"/>
      <c r="C624" s="70">
        <f t="shared" si="448"/>
        <v>-4</v>
      </c>
      <c r="D624" s="70">
        <f>IFERROR(AL7+SQRT(E$17^2-(AM5-E16)^2),-4)</f>
        <v>-4</v>
      </c>
      <c r="E624" s="70"/>
      <c r="F624" s="70">
        <f t="shared" si="449"/>
        <v>0</v>
      </c>
      <c r="G624" s="70">
        <f>IFERROR(AL7+SQRT(H$17^2-(AM5-H16)^2),-4)</f>
        <v>9.0993249620269765</v>
      </c>
      <c r="H624" s="70"/>
      <c r="I624" s="70">
        <f t="shared" si="450"/>
        <v>0</v>
      </c>
      <c r="J624" s="70">
        <f>IFERROR(AL7+SQRT(K$17^2-(AM5-K16)^2),-4)</f>
        <v>9.0993249620269765</v>
      </c>
      <c r="K624" s="70"/>
      <c r="L624" s="70">
        <f t="shared" si="451"/>
        <v>-4</v>
      </c>
      <c r="M624" s="70">
        <f>IFERROR(AL7+SQRT(N$17^2-(AM5-N16)^2),-4)</f>
        <v>-4</v>
      </c>
      <c r="N624" s="70"/>
      <c r="O624" s="70">
        <f t="shared" si="452"/>
        <v>-4</v>
      </c>
      <c r="P624" s="70">
        <f>IFERROR(AL7+SQRT(Q$17^2-(AM5-Q16)^2),-4)</f>
        <v>-4</v>
      </c>
      <c r="Q624" s="70"/>
      <c r="R624" s="70">
        <f t="shared" si="453"/>
        <v>-4</v>
      </c>
      <c r="S624" s="70">
        <f>IFERROR(AL7+SQRT(T$17^2-(AM5-T16)^2),-4)</f>
        <v>-4</v>
      </c>
      <c r="T624" s="70"/>
      <c r="U624" s="70">
        <f t="shared" si="454"/>
        <v>-4</v>
      </c>
      <c r="V624" s="70">
        <f>IFERROR(AL7+SQRT(W$17^2-(AM5-W16)^2),-4)</f>
        <v>-4</v>
      </c>
      <c r="W624" s="70"/>
      <c r="X624" s="70">
        <f t="shared" si="455"/>
        <v>-4</v>
      </c>
      <c r="Y624" s="70">
        <f>IFERROR(AL7+SQRT(Z$17^2-(AM5-Z16)^2),-4)</f>
        <v>-4</v>
      </c>
      <c r="Z624" s="70"/>
      <c r="AA624" s="70">
        <f t="shared" si="456"/>
        <v>-4</v>
      </c>
      <c r="AB624" s="70">
        <f>IFERROR(AL7+SQRT(AC$17^2-(AM5-AC16)^2),-4)</f>
        <v>-4</v>
      </c>
      <c r="AC624" s="70"/>
    </row>
    <row r="625" spans="1:29" s="2" customFormat="1">
      <c r="A625" s="70"/>
      <c r="B625" s="70"/>
      <c r="C625" s="70">
        <f t="shared" ref="C625:C632" si="457">IF($A$11,IF(D625&gt;D9,D9,D625),-4)</f>
        <v>-4</v>
      </c>
      <c r="D625" s="70">
        <f>IFERROR(AL7+SQRT($E$17^2-(AM6-E9)^2),-4)</f>
        <v>-4</v>
      </c>
      <c r="E625" s="70"/>
      <c r="F625" s="70">
        <f t="shared" ref="F625:F632" si="458">IF($A$11,IF(G625&gt;G9,G9,G625),-4)</f>
        <v>0</v>
      </c>
      <c r="G625" s="70">
        <f>IFERROR(AL7+SQRT(H$17^2-(AM6-H9)^2),-4)</f>
        <v>7.4712584000491198</v>
      </c>
      <c r="H625" s="70"/>
      <c r="I625" s="70">
        <f t="shared" ref="I625:I632" si="459">IF($A$11,IF(J625&gt;J9,J9,J625),-4)</f>
        <v>0</v>
      </c>
      <c r="J625" s="70">
        <f>IFERROR(AL7+SQRT(K$17^2-(AM6-K9)^2),-4)</f>
        <v>7.4712584000491198</v>
      </c>
      <c r="K625" s="70"/>
      <c r="L625" s="70">
        <f t="shared" ref="L625:L632" si="460">IF($A$11,IF(M625&gt;M9,M9,M625),-4)</f>
        <v>-4</v>
      </c>
      <c r="M625" s="70">
        <f>IFERROR(AL7+SQRT(N$17^2-(AM6-N9)^2),-4)</f>
        <v>-4</v>
      </c>
      <c r="N625" s="70"/>
      <c r="O625" s="70">
        <f t="shared" ref="O625:O632" si="461">IF($A$11,IF(P625&gt;P9,P9,P625),-4)</f>
        <v>-4</v>
      </c>
      <c r="P625" s="70">
        <f>IFERROR(AL7+SQRT(Q$17^2-(AM6-Q9)^2),-4)</f>
        <v>-4</v>
      </c>
      <c r="Q625" s="70"/>
      <c r="R625" s="70">
        <f t="shared" ref="R625:R632" si="462">IF($A$11,IF(S625&gt;S9,S9,S625),-4)</f>
        <v>-4</v>
      </c>
      <c r="S625" s="70">
        <f>IFERROR(AL7+SQRT(T$17^2-(AM6-T9)^2),-4)</f>
        <v>-4</v>
      </c>
      <c r="T625" s="70"/>
      <c r="U625" s="70">
        <f t="shared" ref="U625:U632" si="463">IF($A$11,IF(V625&gt;V9,V9,V625),-4)</f>
        <v>-4</v>
      </c>
      <c r="V625" s="70">
        <f>IFERROR(AL7+SQRT(W$17^2-(AM6-W9)^2),-4)</f>
        <v>-4</v>
      </c>
      <c r="W625" s="70"/>
      <c r="X625" s="70">
        <f t="shared" ref="X625:X632" si="464">IF($A$11,IF(Y625&gt;Y9,Y9,Y625),-4)</f>
        <v>-4</v>
      </c>
      <c r="Y625" s="70">
        <f>IFERROR(AL7+SQRT(Z$17^2-(AM6-Z9)^2),-4)</f>
        <v>-4</v>
      </c>
      <c r="Z625" s="70"/>
      <c r="AA625" s="70">
        <f t="shared" ref="AA625:AA632" si="465">IF($A$11,IF(AB625&gt;AB9,AB9,AB625),-4)</f>
        <v>-4</v>
      </c>
      <c r="AB625" s="70">
        <f>IFERROR(AL7+SQRT(AC$17^2-(AM6-AC9)^2),-4)</f>
        <v>-4</v>
      </c>
      <c r="AC625" s="70"/>
    </row>
    <row r="626" spans="1:29" s="2" customFormat="1">
      <c r="A626" s="70"/>
      <c r="B626" s="70" t="s">
        <v>232</v>
      </c>
      <c r="C626" s="70">
        <f t="shared" si="457"/>
        <v>-4</v>
      </c>
      <c r="D626" s="70">
        <f>IFERROR(AL7+SQRT($E$17^2-(AM6-E10)^2),-4)</f>
        <v>-4</v>
      </c>
      <c r="E626" s="70"/>
      <c r="F626" s="70">
        <f t="shared" si="458"/>
        <v>0</v>
      </c>
      <c r="G626" s="70">
        <f>IFERROR(AL7+SQRT(H$17^2-(AM6-H10)^2),-4)</f>
        <v>7.4712584000491198</v>
      </c>
      <c r="H626" s="70"/>
      <c r="I626" s="70">
        <f t="shared" si="459"/>
        <v>0</v>
      </c>
      <c r="J626" s="70">
        <f>IFERROR(AL7+SQRT(K$17^2-(AM6-K10)^2),-4)</f>
        <v>7.4712584000491198</v>
      </c>
      <c r="K626" s="70"/>
      <c r="L626" s="70">
        <f t="shared" si="460"/>
        <v>-4</v>
      </c>
      <c r="M626" s="70">
        <f>IFERROR(AL7+SQRT(N$17^2-(AM6-N10)^2),-4)</f>
        <v>-4</v>
      </c>
      <c r="N626" s="70"/>
      <c r="O626" s="70">
        <f t="shared" si="461"/>
        <v>-4</v>
      </c>
      <c r="P626" s="70">
        <f>IFERROR(AL7+SQRT(Q$17^2-(AM6-Q10)^2),-4)</f>
        <v>-4</v>
      </c>
      <c r="Q626" s="70"/>
      <c r="R626" s="70">
        <f t="shared" si="462"/>
        <v>-4</v>
      </c>
      <c r="S626" s="70">
        <f>IFERROR(AL7+SQRT(T$17^2-(AM6-T10)^2),-4)</f>
        <v>-4</v>
      </c>
      <c r="T626" s="70"/>
      <c r="U626" s="70">
        <f t="shared" si="463"/>
        <v>-4</v>
      </c>
      <c r="V626" s="70">
        <f>IFERROR(AL7+SQRT(W$17^2-(AM6-W10)^2),-4)</f>
        <v>-4</v>
      </c>
      <c r="W626" s="70"/>
      <c r="X626" s="70">
        <f t="shared" si="464"/>
        <v>-4</v>
      </c>
      <c r="Y626" s="70">
        <f>IFERROR(AL7+SQRT(Z$17^2-(AM6-Z10)^2),-4)</f>
        <v>-4</v>
      </c>
      <c r="Z626" s="70"/>
      <c r="AA626" s="70">
        <f t="shared" si="465"/>
        <v>-4</v>
      </c>
      <c r="AB626" s="70">
        <f>IFERROR(AL7+SQRT(AC$17^2-(AM6-AC10)^2),-4)</f>
        <v>-4</v>
      </c>
      <c r="AC626" s="70"/>
    </row>
    <row r="627" spans="1:29" s="2" customFormat="1">
      <c r="A627" s="70"/>
      <c r="B627" s="70"/>
      <c r="C627" s="70">
        <f t="shared" si="457"/>
        <v>-4</v>
      </c>
      <c r="D627" s="70">
        <f>IFERROR(AL7+SQRT($E$17^2-(AM6-E11)^2),-4)</f>
        <v>-4</v>
      </c>
      <c r="E627" s="70"/>
      <c r="F627" s="70">
        <f t="shared" si="458"/>
        <v>0</v>
      </c>
      <c r="G627" s="70">
        <f>IFERROR(AL7+SQRT(H$17^2-(AM6-H11)^2),-4)</f>
        <v>7.4712584000491198</v>
      </c>
      <c r="H627" s="70"/>
      <c r="I627" s="70">
        <f t="shared" si="459"/>
        <v>0</v>
      </c>
      <c r="J627" s="70">
        <f>IFERROR(AL7+SQRT(K$17^2-(AM6-K11)^2),-4)</f>
        <v>7.4712584000491198</v>
      </c>
      <c r="K627" s="70"/>
      <c r="L627" s="70">
        <f t="shared" si="460"/>
        <v>-4</v>
      </c>
      <c r="M627" s="70">
        <f>IFERROR(AL7+SQRT(N$17^2-(AM6-N11)^2),-4)</f>
        <v>-4</v>
      </c>
      <c r="N627" s="70"/>
      <c r="O627" s="70">
        <f t="shared" si="461"/>
        <v>-4</v>
      </c>
      <c r="P627" s="70">
        <f>IFERROR(AL7+SQRT(Q$17^2-(AM6-Q11)^2),-4)</f>
        <v>-4</v>
      </c>
      <c r="Q627" s="70"/>
      <c r="R627" s="70">
        <f t="shared" si="462"/>
        <v>-4</v>
      </c>
      <c r="S627" s="70">
        <f>IFERROR(AL7+SQRT(T$17^2-(AM6-T11)^2),-4)</f>
        <v>-4</v>
      </c>
      <c r="T627" s="70"/>
      <c r="U627" s="70">
        <f t="shared" si="463"/>
        <v>-4</v>
      </c>
      <c r="V627" s="70">
        <f>IFERROR(AL7+SQRT(W$17^2-(AM6-W11)^2),-4)</f>
        <v>-4</v>
      </c>
      <c r="W627" s="70"/>
      <c r="X627" s="70">
        <f t="shared" si="464"/>
        <v>-4</v>
      </c>
      <c r="Y627" s="70">
        <f>IFERROR(AL7+SQRT(Z$17^2-(AM6-Z11)^2),-4)</f>
        <v>-4</v>
      </c>
      <c r="Z627" s="70"/>
      <c r="AA627" s="70">
        <f t="shared" si="465"/>
        <v>-4</v>
      </c>
      <c r="AB627" s="70">
        <f>IFERROR(AL7+SQRT(AC$17^2-(AM6-AC11)^2),-4)</f>
        <v>-4</v>
      </c>
      <c r="AC627" s="70"/>
    </row>
    <row r="628" spans="1:29" s="2" customFormat="1">
      <c r="A628" s="70"/>
      <c r="B628" s="70"/>
      <c r="C628" s="70">
        <f t="shared" si="457"/>
        <v>-4</v>
      </c>
      <c r="D628" s="70">
        <f>IFERROR(AL7+SQRT($E$17^2-(AM6-E12)^2),-4)</f>
        <v>-4</v>
      </c>
      <c r="E628" s="70"/>
      <c r="F628" s="70">
        <f t="shared" si="458"/>
        <v>0</v>
      </c>
      <c r="G628" s="70">
        <f>IFERROR(AL7+SQRT(H$17^2-(AM6-H12)^2),-4)</f>
        <v>7.4712584000491198</v>
      </c>
      <c r="H628" s="70"/>
      <c r="I628" s="70">
        <f t="shared" si="459"/>
        <v>0</v>
      </c>
      <c r="J628" s="70">
        <f>IFERROR(AL7+SQRT(K$17^2-(AM6-K12)^2),-4)</f>
        <v>7.4712584000491198</v>
      </c>
      <c r="K628" s="70"/>
      <c r="L628" s="70">
        <f t="shared" si="460"/>
        <v>-4</v>
      </c>
      <c r="M628" s="70">
        <f>IFERROR(AL7+SQRT(N$17^2-(AM6-N12)^2),-4)</f>
        <v>-4</v>
      </c>
      <c r="N628" s="70"/>
      <c r="O628" s="70">
        <f t="shared" si="461"/>
        <v>-4</v>
      </c>
      <c r="P628" s="70">
        <f>IFERROR(AL7+SQRT(Q$17^2-(AM6-Q12)^2),-4)</f>
        <v>-4</v>
      </c>
      <c r="Q628" s="70"/>
      <c r="R628" s="70">
        <f t="shared" si="462"/>
        <v>-4</v>
      </c>
      <c r="S628" s="70">
        <f>IFERROR(AL7+SQRT(T$17^2-(AM6-T12)^2),-4)</f>
        <v>-4</v>
      </c>
      <c r="T628" s="70"/>
      <c r="U628" s="70">
        <f t="shared" si="463"/>
        <v>-4</v>
      </c>
      <c r="V628" s="70">
        <f>IFERROR(AL7+SQRT(W$17^2-(AM6-W12)^2),-4)</f>
        <v>-4</v>
      </c>
      <c r="W628" s="70"/>
      <c r="X628" s="70">
        <f t="shared" si="464"/>
        <v>-4</v>
      </c>
      <c r="Y628" s="70">
        <f>IFERROR(AL7+SQRT(Z$17^2-(AM6-Z12)^2),-4)</f>
        <v>-4</v>
      </c>
      <c r="Z628" s="70"/>
      <c r="AA628" s="70">
        <f t="shared" si="465"/>
        <v>-4</v>
      </c>
      <c r="AB628" s="70">
        <f>IFERROR(AL7+SQRT(AC$17^2-(AM6-AC12)^2),-4)</f>
        <v>-4</v>
      </c>
      <c r="AC628" s="70"/>
    </row>
    <row r="629" spans="1:29" s="2" customFormat="1">
      <c r="A629" s="70"/>
      <c r="B629" s="70"/>
      <c r="C629" s="70">
        <f t="shared" si="457"/>
        <v>-4</v>
      </c>
      <c r="D629" s="70">
        <f>IFERROR(AL7+SQRT($E$17^2-(AM6-E13)^2),-4)</f>
        <v>-4</v>
      </c>
      <c r="E629" s="70"/>
      <c r="F629" s="70">
        <f t="shared" si="458"/>
        <v>0</v>
      </c>
      <c r="G629" s="70">
        <f>IFERROR(AL7+SQRT(H$17^2-(AM6-H13)^2),-4)</f>
        <v>7.4712584000491198</v>
      </c>
      <c r="H629" s="70"/>
      <c r="I629" s="70">
        <f t="shared" si="459"/>
        <v>0</v>
      </c>
      <c r="J629" s="70">
        <f>IFERROR(AL7+SQRT(K$17^2-(AM6-K13)^2),-4)</f>
        <v>7.4712584000491198</v>
      </c>
      <c r="K629" s="70"/>
      <c r="L629" s="70">
        <f t="shared" si="460"/>
        <v>-4</v>
      </c>
      <c r="M629" s="70">
        <f>IFERROR(AL7+SQRT(N$17^2-(AM6-N13)^2),-4)</f>
        <v>-4</v>
      </c>
      <c r="N629" s="70"/>
      <c r="O629" s="70">
        <f t="shared" si="461"/>
        <v>-4</v>
      </c>
      <c r="P629" s="70">
        <f>IFERROR(AL7+SQRT(Q$17^2-(AM6-Q13)^2),-4)</f>
        <v>-4</v>
      </c>
      <c r="Q629" s="70"/>
      <c r="R629" s="70">
        <f t="shared" si="462"/>
        <v>-4</v>
      </c>
      <c r="S629" s="70">
        <f>IFERROR(AL7+SQRT(T$17^2-(AM6-T13)^2),-4)</f>
        <v>-4</v>
      </c>
      <c r="T629" s="70"/>
      <c r="U629" s="70">
        <f t="shared" si="463"/>
        <v>-4</v>
      </c>
      <c r="V629" s="70">
        <f>IFERROR(AL7+SQRT(W$17^2-(AM6-W13)^2),-4)</f>
        <v>-4</v>
      </c>
      <c r="W629" s="70"/>
      <c r="X629" s="70">
        <f t="shared" si="464"/>
        <v>-4</v>
      </c>
      <c r="Y629" s="70">
        <f>IFERROR(AL7+SQRT(Z$17^2-(AM6-Z13)^2),-4)</f>
        <v>-4</v>
      </c>
      <c r="Z629" s="70"/>
      <c r="AA629" s="70">
        <f t="shared" si="465"/>
        <v>-4</v>
      </c>
      <c r="AB629" s="70">
        <f>IFERROR(AL7+SQRT(AC$17^2-(AM6-AC13)^2),-4)</f>
        <v>-4</v>
      </c>
      <c r="AC629" s="70"/>
    </row>
    <row r="630" spans="1:29" s="2" customFormat="1">
      <c r="A630" s="70"/>
      <c r="B630" s="70"/>
      <c r="C630" s="70">
        <f t="shared" si="457"/>
        <v>-4</v>
      </c>
      <c r="D630" s="70">
        <f>IFERROR(AL7+SQRT($E$17^2-(AM6-E14)^2),-4)</f>
        <v>-4</v>
      </c>
      <c r="E630" s="70"/>
      <c r="F630" s="70">
        <f t="shared" si="458"/>
        <v>0</v>
      </c>
      <c r="G630" s="70">
        <f>IFERROR(AL7+SQRT(H$17^2-(AM6-H14)^2),-4)</f>
        <v>7.4712584000491198</v>
      </c>
      <c r="H630" s="70"/>
      <c r="I630" s="70">
        <f t="shared" si="459"/>
        <v>0</v>
      </c>
      <c r="J630" s="70">
        <f>IFERROR(AL7+SQRT(K$17^2-(AM6-K14)^2),-4)</f>
        <v>7.4712584000491198</v>
      </c>
      <c r="K630" s="70"/>
      <c r="L630" s="70">
        <f t="shared" si="460"/>
        <v>-4</v>
      </c>
      <c r="M630" s="70">
        <f>IFERROR(AL7+SQRT(N$17^2-(AM6-N14)^2),-4)</f>
        <v>-4</v>
      </c>
      <c r="N630" s="70"/>
      <c r="O630" s="70">
        <f t="shared" si="461"/>
        <v>-4</v>
      </c>
      <c r="P630" s="70">
        <f>IFERROR(AL7+SQRT(Q$17^2-(AM6-Q14)^2),-4)</f>
        <v>-4</v>
      </c>
      <c r="Q630" s="70"/>
      <c r="R630" s="70">
        <f t="shared" si="462"/>
        <v>-4</v>
      </c>
      <c r="S630" s="70">
        <f>IFERROR(AL7+SQRT(T$17^2-(AM6-T14)^2),-4)</f>
        <v>-4</v>
      </c>
      <c r="T630" s="70"/>
      <c r="U630" s="70">
        <f t="shared" si="463"/>
        <v>-4</v>
      </c>
      <c r="V630" s="70">
        <f>IFERROR(AL7+SQRT(W$17^2-(AM6-W14)^2),-4)</f>
        <v>-4</v>
      </c>
      <c r="W630" s="70"/>
      <c r="X630" s="70">
        <f t="shared" si="464"/>
        <v>-4</v>
      </c>
      <c r="Y630" s="70">
        <f>IFERROR(AL7+SQRT(Z$17^2-(AM6-Z14)^2),-4)</f>
        <v>-4</v>
      </c>
      <c r="Z630" s="70"/>
      <c r="AA630" s="70">
        <f t="shared" si="465"/>
        <v>-4</v>
      </c>
      <c r="AB630" s="70">
        <f>IFERROR(AL7+SQRT(AC$17^2-(AM6-AC14)^2),-4)</f>
        <v>-4</v>
      </c>
      <c r="AC630" s="70"/>
    </row>
    <row r="631" spans="1:29" s="2" customFormat="1">
      <c r="A631" s="70"/>
      <c r="B631" s="70"/>
      <c r="C631" s="70">
        <f t="shared" si="457"/>
        <v>-4</v>
      </c>
      <c r="D631" s="70">
        <f>IFERROR(AL7+SQRT($E$17^2-(AM6-E15)^2),-4)</f>
        <v>-4</v>
      </c>
      <c r="E631" s="70"/>
      <c r="F631" s="70">
        <f t="shared" si="458"/>
        <v>0</v>
      </c>
      <c r="G631" s="70">
        <f>IFERROR(AL7+SQRT(H$17^2-(AM6-H15)^2),-4)</f>
        <v>7.4712584000491198</v>
      </c>
      <c r="H631" s="70"/>
      <c r="I631" s="70">
        <f t="shared" si="459"/>
        <v>0</v>
      </c>
      <c r="J631" s="70">
        <f>IFERROR(AL7+SQRT(K$17^2-(AM6-K15)^2),-4)</f>
        <v>7.4712584000491198</v>
      </c>
      <c r="K631" s="70"/>
      <c r="L631" s="70">
        <f t="shared" si="460"/>
        <v>-4</v>
      </c>
      <c r="M631" s="70">
        <f>IFERROR(AL7+SQRT(N$17^2-(AM6-N15)^2),-4)</f>
        <v>-4</v>
      </c>
      <c r="N631" s="70"/>
      <c r="O631" s="70">
        <f t="shared" si="461"/>
        <v>-4</v>
      </c>
      <c r="P631" s="70">
        <f>IFERROR(AL7+SQRT(Q$17^2-(AM6-Q15)^2),-4)</f>
        <v>-4</v>
      </c>
      <c r="Q631" s="70"/>
      <c r="R631" s="70">
        <f t="shared" si="462"/>
        <v>-4</v>
      </c>
      <c r="S631" s="70">
        <f>IFERROR(AL7+SQRT(T$17^2-(AM6-T15)^2),-4)</f>
        <v>-4</v>
      </c>
      <c r="T631" s="70"/>
      <c r="U631" s="70">
        <f t="shared" si="463"/>
        <v>-4</v>
      </c>
      <c r="V631" s="70">
        <f>IFERROR(AL7+SQRT(W$17^2-(AM6-W15)^2),-4)</f>
        <v>-4</v>
      </c>
      <c r="W631" s="70"/>
      <c r="X631" s="70">
        <f t="shared" si="464"/>
        <v>-4</v>
      </c>
      <c r="Y631" s="70">
        <f>IFERROR(AL7+SQRT(Z$17^2-(AM6-Z15)^2),-4)</f>
        <v>-4</v>
      </c>
      <c r="Z631" s="70"/>
      <c r="AA631" s="70">
        <f t="shared" si="465"/>
        <v>-4</v>
      </c>
      <c r="AB631" s="70">
        <f>IFERROR(AL7+SQRT(AC$17^2-(AM6-AC15)^2),-4)</f>
        <v>-4</v>
      </c>
      <c r="AC631" s="70"/>
    </row>
    <row r="632" spans="1:29" s="2" customFormat="1">
      <c r="A632" s="70"/>
      <c r="B632" s="70"/>
      <c r="C632" s="70">
        <f t="shared" si="457"/>
        <v>-4</v>
      </c>
      <c r="D632" s="70">
        <f>IFERROR(AL7+SQRT($E$17^2-(AM6-E16)^2),-4)</f>
        <v>-4</v>
      </c>
      <c r="E632" s="70"/>
      <c r="F632" s="70">
        <f t="shared" si="458"/>
        <v>0</v>
      </c>
      <c r="G632" s="70">
        <f>IFERROR(AL7+SQRT(H$17^2-(AM6-H16)^2),-4)</f>
        <v>7.4712584000491198</v>
      </c>
      <c r="H632" s="70"/>
      <c r="I632" s="70">
        <f t="shared" si="459"/>
        <v>0</v>
      </c>
      <c r="J632" s="70">
        <f>IFERROR(AL7+SQRT(K$17^2-(AM6-K16)^2),-4)</f>
        <v>7.4712584000491198</v>
      </c>
      <c r="K632" s="70"/>
      <c r="L632" s="70">
        <f t="shared" si="460"/>
        <v>-4</v>
      </c>
      <c r="M632" s="70">
        <f>IFERROR(AL7+SQRT(N$17^2-(AM6-N16)^2),-4)</f>
        <v>-4</v>
      </c>
      <c r="N632" s="70"/>
      <c r="O632" s="70">
        <f t="shared" si="461"/>
        <v>-4</v>
      </c>
      <c r="P632" s="70">
        <f>IFERROR(AL7+SQRT(Q$17^2-(AM6-Q16)^2),-4)</f>
        <v>-4</v>
      </c>
      <c r="Q632" s="70"/>
      <c r="R632" s="70">
        <f t="shared" si="462"/>
        <v>-4</v>
      </c>
      <c r="S632" s="70">
        <f>IFERROR(AL7+SQRT(T$17^2-(AM6-T16)^2),-4)</f>
        <v>-4</v>
      </c>
      <c r="T632" s="70"/>
      <c r="U632" s="70">
        <f t="shared" si="463"/>
        <v>-4</v>
      </c>
      <c r="V632" s="70">
        <f>IFERROR(AL7+SQRT(W$17^2-(AM6-W16)^2),-4)</f>
        <v>-4</v>
      </c>
      <c r="W632" s="70"/>
      <c r="X632" s="70">
        <f t="shared" si="464"/>
        <v>-4</v>
      </c>
      <c r="Y632" s="70">
        <f>IFERROR(AL7+SQRT(Z$17^2-(AM6-Z16)^2),-4)</f>
        <v>-4</v>
      </c>
      <c r="Z632" s="70"/>
      <c r="AA632" s="70">
        <f t="shared" si="465"/>
        <v>-4</v>
      </c>
      <c r="AB632" s="70">
        <f>IFERROR(AL7+SQRT(AC$17^2-(AM6-AC16)^2),-4)</f>
        <v>-4</v>
      </c>
      <c r="AC632" s="70"/>
    </row>
    <row r="633" spans="1:29" s="2" customFormat="1">
      <c r="A633" s="70"/>
      <c r="B633" s="70"/>
      <c r="C633" s="70">
        <f t="shared" ref="C633:C640" si="466">IF($A$14,IF(D633&gt;D9,D9,D633),-4)</f>
        <v>-4</v>
      </c>
      <c r="D633" s="70">
        <f>IFERROR(AL7+SQRT($E$17^2-(AM7-E9)^2),-4)</f>
        <v>-4</v>
      </c>
      <c r="E633" s="70"/>
      <c r="F633" s="70">
        <f t="shared" ref="F633:F640" si="467">IF($A$14,IF(G633&gt;G9,G9,G633),-4)</f>
        <v>-4</v>
      </c>
      <c r="G633" s="70">
        <f>IFERROR(AL7+SQRT(H$17^2-(AM7-H9)^2),-4)</f>
        <v>-4</v>
      </c>
      <c r="H633" s="70"/>
      <c r="I633" s="70">
        <f t="shared" ref="I633:I640" si="468">IF($A$14,IF(J633&gt;J9,J9,J633),-4)</f>
        <v>-4</v>
      </c>
      <c r="J633" s="70">
        <f>IFERROR(AL7+SQRT(K$17^2-(AM7-K9)^2),-4)</f>
        <v>-4</v>
      </c>
      <c r="K633" s="70">
        <v>4</v>
      </c>
      <c r="L633" s="70">
        <f t="shared" ref="L633:L640" si="469">IF($A$14,IF(M633&gt;M9,M9,M633),-4)</f>
        <v>-4</v>
      </c>
      <c r="M633" s="70">
        <f>IFERROR(AL7+SQRT(N$17^2-(AM7-N9)^2),-4)</f>
        <v>-4</v>
      </c>
      <c r="N633" s="70"/>
      <c r="O633" s="70">
        <f t="shared" ref="O633:O640" si="470">IF($A$14,IF(P633&gt;P9,P9,P633),-4)</f>
        <v>-4</v>
      </c>
      <c r="P633" s="70">
        <f>IFERROR(AL7+SQRT(Q$17^2-(AM7-Q9)^2),-4)</f>
        <v>-4</v>
      </c>
      <c r="Q633" s="70"/>
      <c r="R633" s="70">
        <f t="shared" ref="R633:R640" si="471">IF($A$14,IF(S633&gt;S9,S9,S633),-4)</f>
        <v>-4</v>
      </c>
      <c r="S633" s="70">
        <f>IFERROR(AL7+SQRT(T$17^2-(AM7-T9)^2),-4)</f>
        <v>-4</v>
      </c>
      <c r="T633" s="70"/>
      <c r="U633" s="70">
        <f t="shared" ref="U633:U640" si="472">IF($A$14,IF(V633&gt;V9,V9,V633),-4)</f>
        <v>-4</v>
      </c>
      <c r="V633" s="70">
        <f>IFERROR(AL7+SQRT(W$17^2-(AM7-W9)^2),-4)</f>
        <v>-4</v>
      </c>
      <c r="W633" s="70"/>
      <c r="X633" s="70">
        <f t="shared" ref="X633:X640" si="473">IF($A$14,IF(Y633&gt;Y9,Y9,Y633),-4)</f>
        <v>-4</v>
      </c>
      <c r="Y633" s="70">
        <f>IFERROR(AL7+SQRT(Z$17^2-(AM7-Z9)^2),-4)</f>
        <v>-4</v>
      </c>
      <c r="Z633" s="70"/>
      <c r="AA633" s="70">
        <f t="shared" ref="AA633:AA640" si="474">IF($A$14,IF(AB633&gt;AB9,AB9,AB633),-4)</f>
        <v>-4</v>
      </c>
      <c r="AB633" s="70">
        <f>IFERROR(AL7+SQRT(AC$17^2-(AM7-AC9)^2),-4)</f>
        <v>-4</v>
      </c>
      <c r="AC633" s="70"/>
    </row>
    <row r="634" spans="1:29" s="2" customFormat="1">
      <c r="A634" s="70"/>
      <c r="B634" s="70" t="s">
        <v>233</v>
      </c>
      <c r="C634" s="70">
        <f t="shared" si="466"/>
        <v>-4</v>
      </c>
      <c r="D634" s="70">
        <f>IFERROR(AL7+SQRT($E$17^2-(AM7-E10)^2),-4)</f>
        <v>-4</v>
      </c>
      <c r="E634" s="70"/>
      <c r="F634" s="70">
        <f t="shared" si="467"/>
        <v>-4</v>
      </c>
      <c r="G634" s="70">
        <f>IFERROR(AL7+SQRT(H$17^2-(AM7-H10)^2),-4)</f>
        <v>-4</v>
      </c>
      <c r="H634" s="70"/>
      <c r="I634" s="70">
        <f t="shared" si="468"/>
        <v>-4</v>
      </c>
      <c r="J634" s="70">
        <f>IFERROR(AL7+SQRT(K$17^2-(AM7-K10)^2),-4)</f>
        <v>-4</v>
      </c>
      <c r="K634" s="70">
        <v>4.3</v>
      </c>
      <c r="L634" s="70">
        <f t="shared" si="469"/>
        <v>-4</v>
      </c>
      <c r="M634" s="70">
        <f>IFERROR(AL7+SQRT(N$17^2-(AM7-N10)^2),-4)</f>
        <v>-4</v>
      </c>
      <c r="N634" s="70"/>
      <c r="O634" s="70">
        <f t="shared" si="470"/>
        <v>-4</v>
      </c>
      <c r="P634" s="70">
        <f>IFERROR(AL7+SQRT(Q$17^2-(AM7-Q10)^2),-4)</f>
        <v>-4</v>
      </c>
      <c r="Q634" s="70"/>
      <c r="R634" s="70">
        <f t="shared" si="471"/>
        <v>-4</v>
      </c>
      <c r="S634" s="70">
        <f>IFERROR(AL7+SQRT(T$17^2-(AM7-T10)^2),-4)</f>
        <v>-4</v>
      </c>
      <c r="T634" s="70"/>
      <c r="U634" s="70">
        <f t="shared" si="472"/>
        <v>-4</v>
      </c>
      <c r="V634" s="70">
        <f>IFERROR(AL7+SQRT(W$17^2-(AM7-W10)^2),-4)</f>
        <v>-4</v>
      </c>
      <c r="W634" s="70"/>
      <c r="X634" s="70">
        <f t="shared" si="473"/>
        <v>-4</v>
      </c>
      <c r="Y634" s="70">
        <f>IFERROR(AL7+SQRT(Z$17^2-(AM7-Z10)^2),-4)</f>
        <v>-4</v>
      </c>
      <c r="Z634" s="70"/>
      <c r="AA634" s="70">
        <f t="shared" si="474"/>
        <v>-4</v>
      </c>
      <c r="AB634" s="70">
        <f>IFERROR(AL7+SQRT(AC$17^2-(AM7-AC10)^2),-4)</f>
        <v>-4</v>
      </c>
      <c r="AC634" s="70"/>
    </row>
    <row r="635" spans="1:29" s="2" customFormat="1">
      <c r="A635" s="70"/>
      <c r="B635" s="70"/>
      <c r="C635" s="70">
        <f t="shared" si="466"/>
        <v>-4</v>
      </c>
      <c r="D635" s="70">
        <f>IFERROR(AL7+SQRT($E$17^2-(AM7-E11)^2),-4)</f>
        <v>-4</v>
      </c>
      <c r="E635" s="70"/>
      <c r="F635" s="70">
        <f t="shared" si="467"/>
        <v>-4</v>
      </c>
      <c r="G635" s="70">
        <f>IFERROR(AL7+SQRT(H$17^2-(AM7-H11)^2),-4)</f>
        <v>-4</v>
      </c>
      <c r="H635" s="70"/>
      <c r="I635" s="70">
        <f t="shared" si="468"/>
        <v>-4</v>
      </c>
      <c r="J635" s="70">
        <f>IFERROR(AL7+SQRT(K$17^2-(AM7-K11)^2),-4)</f>
        <v>-4</v>
      </c>
      <c r="K635" s="70">
        <v>4.3</v>
      </c>
      <c r="L635" s="70">
        <f t="shared" si="469"/>
        <v>-4</v>
      </c>
      <c r="M635" s="70">
        <f>IFERROR(AL7+SQRT(N$17^2-(AM7-N11)^2),-4)</f>
        <v>-4</v>
      </c>
      <c r="N635" s="70"/>
      <c r="O635" s="70">
        <f t="shared" si="470"/>
        <v>-4</v>
      </c>
      <c r="P635" s="70">
        <f>IFERROR(AL7+SQRT(Q$17^2-(AM7-Q11)^2),-4)</f>
        <v>-4</v>
      </c>
      <c r="Q635" s="70"/>
      <c r="R635" s="70">
        <f t="shared" si="471"/>
        <v>-4</v>
      </c>
      <c r="S635" s="70">
        <f>IFERROR(AL7+SQRT(T$17^2-(AM7-T11)^2),-4)</f>
        <v>-4</v>
      </c>
      <c r="T635" s="70"/>
      <c r="U635" s="70">
        <f t="shared" si="472"/>
        <v>-4</v>
      </c>
      <c r="V635" s="70">
        <f>IFERROR(AL7+SQRT(W$17^2-(AM7-W11)^2),-4)</f>
        <v>-4</v>
      </c>
      <c r="W635" s="70"/>
      <c r="X635" s="70">
        <f t="shared" si="473"/>
        <v>-4</v>
      </c>
      <c r="Y635" s="70">
        <f>IFERROR(AL7+SQRT(Z$17^2-(AM7-Z11)^2),-4)</f>
        <v>-4</v>
      </c>
      <c r="Z635" s="70"/>
      <c r="AA635" s="70">
        <f t="shared" si="474"/>
        <v>-4</v>
      </c>
      <c r="AB635" s="70">
        <f>IFERROR(AL7+SQRT(AC$17^2-(AM7-AC11)^2),-4)</f>
        <v>-4</v>
      </c>
      <c r="AC635" s="70"/>
    </row>
    <row r="636" spans="1:29" s="2" customFormat="1">
      <c r="A636" s="70"/>
      <c r="B636" s="70"/>
      <c r="C636" s="70">
        <f t="shared" si="466"/>
        <v>-4</v>
      </c>
      <c r="D636" s="70">
        <f>IFERROR(AL7+SQRT($E$17^2-(AM7-E12)^2),-4)</f>
        <v>-4</v>
      </c>
      <c r="E636" s="70"/>
      <c r="F636" s="70">
        <f t="shared" si="467"/>
        <v>-4</v>
      </c>
      <c r="G636" s="70">
        <f>IFERROR(AL7+SQRT(H$17^2-(AM7-H12)^2),-4)</f>
        <v>-4</v>
      </c>
      <c r="H636" s="70"/>
      <c r="I636" s="70">
        <f t="shared" si="468"/>
        <v>-4</v>
      </c>
      <c r="J636" s="70">
        <f>IFERROR(AL7+SQRT(K$17^2-(AM7-K12)^2),-4)</f>
        <v>-4</v>
      </c>
      <c r="K636" s="70"/>
      <c r="L636" s="70">
        <f t="shared" si="469"/>
        <v>-4</v>
      </c>
      <c r="M636" s="70">
        <f>IFERROR(AL7+SQRT(N$17^2-(AM7-N12)^2),-4)</f>
        <v>-4</v>
      </c>
      <c r="N636" s="70"/>
      <c r="O636" s="70">
        <f t="shared" si="470"/>
        <v>-4</v>
      </c>
      <c r="P636" s="70">
        <f>IFERROR(AL7+SQRT(Q$17^2-(AM7-Q12)^2),-4)</f>
        <v>-4</v>
      </c>
      <c r="Q636" s="70"/>
      <c r="R636" s="70">
        <f t="shared" si="471"/>
        <v>-4</v>
      </c>
      <c r="S636" s="70">
        <f>IFERROR(AL7+SQRT(T$17^2-(AM7-T12)^2),-4)</f>
        <v>-4</v>
      </c>
      <c r="T636" s="70"/>
      <c r="U636" s="70">
        <f t="shared" si="472"/>
        <v>-4</v>
      </c>
      <c r="V636" s="70">
        <f>IFERROR(AL7+SQRT(W$17^2-(AM7-W12)^2),-4)</f>
        <v>-4</v>
      </c>
      <c r="W636" s="70"/>
      <c r="X636" s="70">
        <f t="shared" si="473"/>
        <v>-4</v>
      </c>
      <c r="Y636" s="70">
        <f>IFERROR(AL7+SQRT(Z$17^2-(AM7-Z12)^2),-4)</f>
        <v>-4</v>
      </c>
      <c r="Z636" s="70"/>
      <c r="AA636" s="70">
        <f t="shared" si="474"/>
        <v>-4</v>
      </c>
      <c r="AB636" s="70">
        <f>IFERROR(AL7+SQRT(AC$17^2-(AM7-AC12)^2),-4)</f>
        <v>-4</v>
      </c>
      <c r="AC636" s="70"/>
    </row>
    <row r="637" spans="1:29" s="2" customFormat="1">
      <c r="A637" s="70"/>
      <c r="B637" s="70"/>
      <c r="C637" s="70">
        <f t="shared" si="466"/>
        <v>-4</v>
      </c>
      <c r="D637" s="70">
        <f>IFERROR(AL7+SQRT($E$17^2-(AM7-E13)^2),-4)</f>
        <v>-4</v>
      </c>
      <c r="E637" s="70"/>
      <c r="F637" s="70">
        <f t="shared" si="467"/>
        <v>-4</v>
      </c>
      <c r="G637" s="70">
        <f>IFERROR(AL7+SQRT(H$17^2-(AM7-H13)^2),-4)</f>
        <v>-4</v>
      </c>
      <c r="H637" s="70"/>
      <c r="I637" s="70">
        <f t="shared" si="468"/>
        <v>-4</v>
      </c>
      <c r="J637" s="70">
        <f>IFERROR(AL7+SQRT(K$17^2-(AM7-K13)^2),-4)</f>
        <v>-4</v>
      </c>
      <c r="K637" s="70"/>
      <c r="L637" s="70">
        <f t="shared" si="469"/>
        <v>-4</v>
      </c>
      <c r="M637" s="70">
        <f>IFERROR(AL7+SQRT(N$17^2-(AM7-N13)^2),-4)</f>
        <v>-4</v>
      </c>
      <c r="N637" s="70"/>
      <c r="O637" s="70">
        <f t="shared" si="470"/>
        <v>-4</v>
      </c>
      <c r="P637" s="70">
        <f>IFERROR(AL7+SQRT(Q$17^2-(AM7-Q13)^2),-4)</f>
        <v>-4</v>
      </c>
      <c r="Q637" s="70"/>
      <c r="R637" s="70">
        <f t="shared" si="471"/>
        <v>-4</v>
      </c>
      <c r="S637" s="70">
        <f>IFERROR(AL7+SQRT(T$17^2-(AM7-T13)^2),-4)</f>
        <v>-4</v>
      </c>
      <c r="T637" s="70"/>
      <c r="U637" s="70">
        <f t="shared" si="472"/>
        <v>-4</v>
      </c>
      <c r="V637" s="70">
        <f>IFERROR(AL7+SQRT(W$17^2-(AM7-W13)^2),-4)</f>
        <v>-4</v>
      </c>
      <c r="W637" s="70"/>
      <c r="X637" s="70">
        <f t="shared" si="473"/>
        <v>-4</v>
      </c>
      <c r="Y637" s="70">
        <f>IFERROR(AL7+SQRT(Z$17^2-(AM7-Z13)^2),-4)</f>
        <v>-4</v>
      </c>
      <c r="Z637" s="70"/>
      <c r="AA637" s="70">
        <f t="shared" si="474"/>
        <v>-4</v>
      </c>
      <c r="AB637" s="70">
        <f>IFERROR(AL7+SQRT(AC$17^2-(AM7-AC13)^2),-4)</f>
        <v>-4</v>
      </c>
      <c r="AC637" s="70"/>
    </row>
    <row r="638" spans="1:29" s="2" customFormat="1">
      <c r="A638" s="70"/>
      <c r="B638" s="70"/>
      <c r="C638" s="70">
        <f t="shared" si="466"/>
        <v>-4</v>
      </c>
      <c r="D638" s="70">
        <f>IFERROR(AL7+SQRT($E$17^2-(AM7-E14)^2),-4)</f>
        <v>-4</v>
      </c>
      <c r="E638" s="70"/>
      <c r="F638" s="70">
        <f t="shared" si="467"/>
        <v>-4</v>
      </c>
      <c r="G638" s="70">
        <f>IFERROR(AL7+SQRT(H$17^2-(AM7-H14)^2),-4)</f>
        <v>-4</v>
      </c>
      <c r="H638" s="70"/>
      <c r="I638" s="70">
        <f t="shared" si="468"/>
        <v>-4</v>
      </c>
      <c r="J638" s="70">
        <f>IFERROR(AL7+SQRT(K$17^2-(AM7-K14)^2),-4)</f>
        <v>-4</v>
      </c>
      <c r="K638" s="70"/>
      <c r="L638" s="70">
        <f t="shared" si="469"/>
        <v>-4</v>
      </c>
      <c r="M638" s="70">
        <f>IFERROR(AL7+SQRT(N$17^2-(AM7-N14)^2),-4)</f>
        <v>-4</v>
      </c>
      <c r="N638" s="70"/>
      <c r="O638" s="70">
        <f t="shared" si="470"/>
        <v>-4</v>
      </c>
      <c r="P638" s="70">
        <f>IFERROR(AL7+SQRT(Q$17^2-(AM7-Q14)^2),-4)</f>
        <v>-4</v>
      </c>
      <c r="Q638" s="70"/>
      <c r="R638" s="70">
        <f t="shared" si="471"/>
        <v>-4</v>
      </c>
      <c r="S638" s="70">
        <f>IFERROR(AL7+SQRT(T$17^2-(AM7-T14)^2),-4)</f>
        <v>-4</v>
      </c>
      <c r="T638" s="70"/>
      <c r="U638" s="70">
        <f t="shared" si="472"/>
        <v>-4</v>
      </c>
      <c r="V638" s="70">
        <f>IFERROR(AL7+SQRT(W$17^2-(AM7-W14)^2),-4)</f>
        <v>-4</v>
      </c>
      <c r="W638" s="70"/>
      <c r="X638" s="70">
        <f t="shared" si="473"/>
        <v>-4</v>
      </c>
      <c r="Y638" s="70">
        <f>IFERROR(AL7+SQRT(Z$17^2-(AM7-Z14)^2),-4)</f>
        <v>-4</v>
      </c>
      <c r="Z638" s="70"/>
      <c r="AA638" s="70">
        <f t="shared" si="474"/>
        <v>-4</v>
      </c>
      <c r="AB638" s="70">
        <f>IFERROR(AL7+SQRT(AC$17^2-(AM7-AC14)^2),-4)</f>
        <v>-4</v>
      </c>
      <c r="AC638" s="70"/>
    </row>
    <row r="639" spans="1:29" s="2" customFormat="1">
      <c r="A639" s="70"/>
      <c r="B639" s="70"/>
      <c r="C639" s="70">
        <f t="shared" si="466"/>
        <v>-4</v>
      </c>
      <c r="D639" s="70">
        <f>IFERROR(AL7+SQRT($E$17^2-(AM7-E15)^2),-4)</f>
        <v>-4</v>
      </c>
      <c r="E639" s="70"/>
      <c r="F639" s="70">
        <f t="shared" si="467"/>
        <v>-4</v>
      </c>
      <c r="G639" s="70">
        <f>IFERROR(AL7+SQRT(H$17^2-(AM7-H15)^2),-4)</f>
        <v>-4</v>
      </c>
      <c r="H639" s="70"/>
      <c r="I639" s="70">
        <f t="shared" si="468"/>
        <v>-4</v>
      </c>
      <c r="J639" s="70">
        <f>IFERROR(AL7+SQRT(K$17^2-(AM7-K15)^2),-4)</f>
        <v>-4</v>
      </c>
      <c r="K639" s="70"/>
      <c r="L639" s="70">
        <f t="shared" si="469"/>
        <v>-4</v>
      </c>
      <c r="M639" s="70">
        <f>IFERROR(AL7+SQRT(N$17^2-(AM7-N15)^2),-4)</f>
        <v>-4</v>
      </c>
      <c r="N639" s="70"/>
      <c r="O639" s="70">
        <f t="shared" si="470"/>
        <v>-4</v>
      </c>
      <c r="P639" s="70">
        <f>IFERROR(AL7+SQRT(Q$17^2-(AM7-Q15)^2),-4)</f>
        <v>-4</v>
      </c>
      <c r="Q639" s="70"/>
      <c r="R639" s="70">
        <f t="shared" si="471"/>
        <v>-4</v>
      </c>
      <c r="S639" s="70">
        <f>IFERROR(AL7+SQRT(T$17^2-(AM7-T15)^2),-4)</f>
        <v>-4</v>
      </c>
      <c r="T639" s="70"/>
      <c r="U639" s="70">
        <f t="shared" si="472"/>
        <v>-4</v>
      </c>
      <c r="V639" s="70">
        <f>IFERROR(AL7+SQRT(W$17^2-(AM7-W15)^2),-4)</f>
        <v>-4</v>
      </c>
      <c r="W639" s="70"/>
      <c r="X639" s="70">
        <f t="shared" si="473"/>
        <v>-4</v>
      </c>
      <c r="Y639" s="70">
        <f>IFERROR(AL7+SQRT(Z$17^2-(AM7-Z15)^2),-4)</f>
        <v>-4</v>
      </c>
      <c r="Z639" s="70"/>
      <c r="AA639" s="70">
        <f t="shared" si="474"/>
        <v>-4</v>
      </c>
      <c r="AB639" s="70">
        <f>IFERROR(AL7+SQRT(AC$17^2-(AM7-AC15)^2),-4)</f>
        <v>-4</v>
      </c>
      <c r="AC639" s="70"/>
    </row>
    <row r="640" spans="1:29" s="2" customFormat="1">
      <c r="A640" s="70"/>
      <c r="B640" s="70"/>
      <c r="C640" s="70">
        <f t="shared" si="466"/>
        <v>-4</v>
      </c>
      <c r="D640" s="70">
        <f>IFERROR(AL7+SQRT($E$17^2-(AM7-E16)^2),-4)</f>
        <v>-4</v>
      </c>
      <c r="E640" s="70"/>
      <c r="F640" s="70">
        <f t="shared" si="467"/>
        <v>-4</v>
      </c>
      <c r="G640" s="70">
        <f>IFERROR(AL7+SQRT(H$17^2-(AM7-H16)^2),-4)</f>
        <v>-4</v>
      </c>
      <c r="H640" s="70"/>
      <c r="I640" s="70">
        <f t="shared" si="468"/>
        <v>-4</v>
      </c>
      <c r="J640" s="70">
        <f>IFERROR(AL7+SQRT(K$17^2-(AM7-K16)^2),-4)</f>
        <v>-4</v>
      </c>
      <c r="K640" s="70"/>
      <c r="L640" s="70">
        <f t="shared" si="469"/>
        <v>-4</v>
      </c>
      <c r="M640" s="70">
        <f>IFERROR(AL7+SQRT(N$17^2-(AM7-N16)^2),-4)</f>
        <v>-4</v>
      </c>
      <c r="N640" s="70"/>
      <c r="O640" s="70">
        <f t="shared" si="470"/>
        <v>-4</v>
      </c>
      <c r="P640" s="70">
        <f>IFERROR(AL7+SQRT(Q$17^2-(AM7-Q16)^2),-4)</f>
        <v>-4</v>
      </c>
      <c r="Q640" s="70"/>
      <c r="R640" s="70">
        <f t="shared" si="471"/>
        <v>-4</v>
      </c>
      <c r="S640" s="70">
        <f>IFERROR(AL7+SQRT(T$17^2-(AM7-T16)^2),-4)</f>
        <v>-4</v>
      </c>
      <c r="T640" s="70"/>
      <c r="U640" s="70">
        <f t="shared" si="472"/>
        <v>-4</v>
      </c>
      <c r="V640" s="70">
        <f>IFERROR(AL7+SQRT(W$17^2-(AM7-W16)^2),-4)</f>
        <v>-4</v>
      </c>
      <c r="W640" s="70"/>
      <c r="X640" s="70">
        <f t="shared" si="473"/>
        <v>-4</v>
      </c>
      <c r="Y640" s="70">
        <f>IFERROR(AL7+SQRT(Z$17^2-(AM7-Z16)^2),-4)</f>
        <v>-4</v>
      </c>
      <c r="Z640" s="70"/>
      <c r="AA640" s="70">
        <f t="shared" si="474"/>
        <v>-4</v>
      </c>
      <c r="AB640" s="70">
        <f>IFERROR(AL7+SQRT(AC$17^2-(AM7-AC16)^2),-4)</f>
        <v>-4</v>
      </c>
      <c r="AC640" s="70"/>
    </row>
    <row r="641" spans="1:29" s="2" customFormat="1">
      <c r="A641" s="70"/>
      <c r="B641" s="70"/>
      <c r="C641" s="70">
        <f t="shared" ref="C641:C648" si="475">IF($A$15,IF(D641&gt;D9,D9,D641),-4)</f>
        <v>-4</v>
      </c>
      <c r="D641" s="70">
        <f>IFERROR(AR14+SQRT($E$17^2-($AS$13-E9)^2),-4)</f>
        <v>-4</v>
      </c>
      <c r="E641" s="70"/>
      <c r="F641" s="70">
        <f t="shared" ref="F641:F648" si="476">IF($A$15,IF(G641&gt;G9,G9,G641),-4)</f>
        <v>-4</v>
      </c>
      <c r="G641" s="70">
        <f>IFERROR(AR14+SQRT(H$17^2-(AS14-H9)^2),-4)</f>
        <v>-0.44896715019546374</v>
      </c>
      <c r="H641" s="70"/>
      <c r="I641" s="70">
        <f t="shared" ref="I641:I648" si="477">IF($A$15,IF(J641&gt;J9,J9,J641),-4)</f>
        <v>-4</v>
      </c>
      <c r="J641" s="70">
        <f>IFERROR(AR14+SQRT(K$17^2-(AS14-K9)^2),-4)</f>
        <v>-0.44896715019546374</v>
      </c>
      <c r="K641" s="70"/>
      <c r="L641" s="70">
        <f t="shared" ref="L641:L648" si="478">IF($A$15,IF(M641&gt;M9,M9,M641),-4)</f>
        <v>-4</v>
      </c>
      <c r="M641" s="70">
        <f>IFERROR(AR14+SQRT(N$17^2-(AS14-N9)^2),-4)</f>
        <v>-4</v>
      </c>
      <c r="N641" s="70"/>
      <c r="O641" s="70">
        <f t="shared" ref="O641:O648" si="479">IF($A$15,IF(P641&gt;P9,P9,P641),-4)</f>
        <v>-4</v>
      </c>
      <c r="P641" s="70">
        <f>IFERROR(AR14+SQRT(Q$17^2-(AS14-Q9)^2),-4)</f>
        <v>-4</v>
      </c>
      <c r="Q641" s="70"/>
      <c r="R641" s="70">
        <f t="shared" ref="R641:R648" si="480">IF($A$15,IF(S641&gt;S9,S9,S641),-4)</f>
        <v>-4</v>
      </c>
      <c r="S641" s="70">
        <f>IFERROR(AR14+SQRT(T$17^2-(AS14-T9)^2),-4)</f>
        <v>-4</v>
      </c>
      <c r="T641" s="70"/>
      <c r="U641" s="70">
        <f t="shared" ref="U641:U648" si="481">IF($A$15,IF(V641&gt;V9,V9,V641),-4)</f>
        <v>-4</v>
      </c>
      <c r="V641" s="70">
        <f>IFERROR(AR14+SQRT(W$17^2-(AS14-W9)^2),-4)</f>
        <v>-4</v>
      </c>
      <c r="W641" s="70"/>
      <c r="X641" s="70">
        <f t="shared" ref="X641:X648" si="482">IF($A$15,IF(Y641&gt;Y9,Y9,Y641),-4)</f>
        <v>-4</v>
      </c>
      <c r="Y641" s="70">
        <f>IFERROR(AR14+SQRT(Z$17^2-(AS14-Z9)^2),-4)</f>
        <v>-4</v>
      </c>
      <c r="Z641" s="70"/>
      <c r="AA641" s="70">
        <f t="shared" ref="AA641:AA648" si="483">IF($A$15,IF(AB641&gt;AB9,AB9,AB641),-4)</f>
        <v>-4</v>
      </c>
      <c r="AB641" s="70">
        <f>IFERROR(AR14+SQRT(AC$17^2-(AS14-AC9)^2),-4)</f>
        <v>-4</v>
      </c>
      <c r="AC641" s="70"/>
    </row>
    <row r="642" spans="1:29" s="2" customFormat="1">
      <c r="A642" s="70"/>
      <c r="B642" s="70" t="s">
        <v>215</v>
      </c>
      <c r="C642" s="70">
        <f t="shared" si="475"/>
        <v>-4</v>
      </c>
      <c r="D642" s="70">
        <f>IFERROR(AR14+SQRT($E$17^2-(AS14-E10)^2),-4)</f>
        <v>-4</v>
      </c>
      <c r="E642" s="70"/>
      <c r="F642" s="70">
        <f t="shared" si="476"/>
        <v>-4</v>
      </c>
      <c r="G642" s="70">
        <f>IFERROR(AR14+SQRT(H$17^2-(AS14-H10)^2),-4)</f>
        <v>-0.44896715019546374</v>
      </c>
      <c r="H642" s="70"/>
      <c r="I642" s="70">
        <f t="shared" si="477"/>
        <v>-4</v>
      </c>
      <c r="J642" s="70">
        <f>IFERROR(AR14+SQRT(K$17^2-(AS14-K10)^2),-4)</f>
        <v>-0.44896715019546374</v>
      </c>
      <c r="K642" s="70"/>
      <c r="L642" s="70">
        <f t="shared" si="478"/>
        <v>-4</v>
      </c>
      <c r="M642" s="70">
        <f>IFERROR(AR14+SQRT(N$17^2-(AS14-N10)^2),-4)</f>
        <v>-4</v>
      </c>
      <c r="N642" s="70"/>
      <c r="O642" s="70">
        <f t="shared" si="479"/>
        <v>-4</v>
      </c>
      <c r="P642" s="70">
        <f>IFERROR(AR14+SQRT(Q$17^2-(AS14-Q10)^2),-4)</f>
        <v>-4</v>
      </c>
      <c r="Q642" s="70"/>
      <c r="R642" s="70">
        <f t="shared" si="480"/>
        <v>-4</v>
      </c>
      <c r="S642" s="70">
        <f>IFERROR(AR14+SQRT(T$17^2-(AS14-T10)^2),-4)</f>
        <v>-4</v>
      </c>
      <c r="T642" s="70"/>
      <c r="U642" s="70">
        <f t="shared" si="481"/>
        <v>-4</v>
      </c>
      <c r="V642" s="70">
        <f>IFERROR(AR14+SQRT(W$17^2-(AS14-W10)^2),-4)</f>
        <v>-4</v>
      </c>
      <c r="W642" s="70"/>
      <c r="X642" s="70">
        <f t="shared" si="482"/>
        <v>-4</v>
      </c>
      <c r="Y642" s="70">
        <f>IFERROR(AR14+SQRT(Z$17^2-(AS14-Z10)^2),-4)</f>
        <v>-4</v>
      </c>
      <c r="Z642" s="70"/>
      <c r="AA642" s="70">
        <f t="shared" si="483"/>
        <v>-4</v>
      </c>
      <c r="AB642" s="70">
        <f>IFERROR(AR14+SQRT(AC$17^2-(AS14-AC10)^2),-4)</f>
        <v>-4</v>
      </c>
      <c r="AC642" s="70"/>
    </row>
    <row r="643" spans="1:29" s="2" customFormat="1">
      <c r="A643" s="70"/>
      <c r="B643" s="70"/>
      <c r="C643" s="70">
        <f t="shared" si="475"/>
        <v>-4</v>
      </c>
      <c r="D643" s="70">
        <f>IFERROR(AR14+SQRT($E$17^2-(AS14-E11)^2),-4)</f>
        <v>-4</v>
      </c>
      <c r="E643" s="70"/>
      <c r="F643" s="70">
        <f t="shared" si="476"/>
        <v>-4</v>
      </c>
      <c r="G643" s="70">
        <f>IFERROR(AR14+SQRT(H$17^2-(AS14-H11)^2),-4)</f>
        <v>-0.44896715019546374</v>
      </c>
      <c r="H643" s="70"/>
      <c r="I643" s="70">
        <f t="shared" si="477"/>
        <v>-4</v>
      </c>
      <c r="J643" s="70">
        <f>IFERROR(AR14+SQRT(K$17^2-(AS14-K11)^2),-4)</f>
        <v>-0.44896715019546374</v>
      </c>
      <c r="K643" s="70"/>
      <c r="L643" s="70">
        <f t="shared" si="478"/>
        <v>-4</v>
      </c>
      <c r="M643" s="70">
        <f>IFERROR(AR14+SQRT(N$17^2-(AS14-N11)^2),-4)</f>
        <v>-4</v>
      </c>
      <c r="N643" s="70"/>
      <c r="O643" s="70">
        <f t="shared" si="479"/>
        <v>-4</v>
      </c>
      <c r="P643" s="70">
        <f>IFERROR(AR14+SQRT(Q$17^2-(AS14-Q11)^2),-4)</f>
        <v>-4</v>
      </c>
      <c r="Q643" s="70"/>
      <c r="R643" s="70">
        <f t="shared" si="480"/>
        <v>-4</v>
      </c>
      <c r="S643" s="70">
        <f>IFERROR(AR14+SQRT(T$17^2-(AS14-T11)^2),-4)</f>
        <v>-4</v>
      </c>
      <c r="T643" s="70"/>
      <c r="U643" s="70">
        <f t="shared" si="481"/>
        <v>-4</v>
      </c>
      <c r="V643" s="70">
        <f>IFERROR(AR14+SQRT(W$17^2-(AS14-W11)^2),-4)</f>
        <v>-4</v>
      </c>
      <c r="W643" s="70"/>
      <c r="X643" s="70">
        <f t="shared" si="482"/>
        <v>-4</v>
      </c>
      <c r="Y643" s="70">
        <f>IFERROR(AR14+SQRT(Z$17^2-(AS14-Z11)^2),-4)</f>
        <v>-4</v>
      </c>
      <c r="Z643" s="70"/>
      <c r="AA643" s="70">
        <f t="shared" si="483"/>
        <v>-4</v>
      </c>
      <c r="AB643" s="70">
        <f>IFERROR(AR14+SQRT(AC$17^2-(AS14-AC11)^2),-4)</f>
        <v>-4</v>
      </c>
      <c r="AC643" s="70"/>
    </row>
    <row r="644" spans="1:29" s="2" customFormat="1">
      <c r="A644" s="70"/>
      <c r="B644" s="70"/>
      <c r="C644" s="70">
        <f t="shared" si="475"/>
        <v>-4</v>
      </c>
      <c r="D644" s="70">
        <f>IFERROR(AR14+SQRT($E$17^2-(AS14-E12)^2),-4)</f>
        <v>-4</v>
      </c>
      <c r="E644" s="70"/>
      <c r="F644" s="70">
        <f t="shared" si="476"/>
        <v>-4</v>
      </c>
      <c r="G644" s="70">
        <f>IFERROR(AR14+SQRT(H$17^2-(AS14-H12)^2),-4)</f>
        <v>-0.44896715019546374</v>
      </c>
      <c r="H644" s="70"/>
      <c r="I644" s="70">
        <f t="shared" si="477"/>
        <v>-4</v>
      </c>
      <c r="J644" s="70">
        <f>IFERROR(AR14+SQRT(K$17^2-(AS14-K12)^2),-4)</f>
        <v>-0.44896715019546374</v>
      </c>
      <c r="K644" s="70"/>
      <c r="L644" s="70">
        <f t="shared" si="478"/>
        <v>-4</v>
      </c>
      <c r="M644" s="70">
        <f>IFERROR(AR14+SQRT(N$17^2-(AS14-N12)^2),-4)</f>
        <v>-4</v>
      </c>
      <c r="N644" s="70"/>
      <c r="O644" s="70">
        <f t="shared" si="479"/>
        <v>-4</v>
      </c>
      <c r="P644" s="70">
        <f>IFERROR(AR14+SQRT(Q$17^2-(AS14-Q12)^2),-4)</f>
        <v>-4</v>
      </c>
      <c r="Q644" s="70"/>
      <c r="R644" s="70">
        <f t="shared" si="480"/>
        <v>-4</v>
      </c>
      <c r="S644" s="70">
        <f>IFERROR(AR14+SQRT(T$17^2-(AS14-T12)^2),-4)</f>
        <v>-4</v>
      </c>
      <c r="T644" s="70"/>
      <c r="U644" s="70">
        <f t="shared" si="481"/>
        <v>-4</v>
      </c>
      <c r="V644" s="70">
        <f>IFERROR(AR14+SQRT(W$17^2-(AS14-W12)^2),-4)</f>
        <v>-4</v>
      </c>
      <c r="W644" s="70"/>
      <c r="X644" s="70">
        <f t="shared" si="482"/>
        <v>-4</v>
      </c>
      <c r="Y644" s="70">
        <f>IFERROR(AR14+SQRT(Z$17^2-(AS14-Z12)^2),-4)</f>
        <v>-4</v>
      </c>
      <c r="Z644" s="70"/>
      <c r="AA644" s="70">
        <f t="shared" si="483"/>
        <v>-4</v>
      </c>
      <c r="AB644" s="70">
        <f>IFERROR(AR14+SQRT(AC$17^2-(AS14-AC12)^2),-4)</f>
        <v>-4</v>
      </c>
      <c r="AC644" s="70"/>
    </row>
    <row r="645" spans="1:29" s="2" customFormat="1">
      <c r="A645" s="70"/>
      <c r="B645" s="70"/>
      <c r="C645" s="70">
        <f t="shared" si="475"/>
        <v>-4</v>
      </c>
      <c r="D645" s="70">
        <f>IFERROR(AR14+SQRT($E$17^2-(AS14-E13)^2),-4)</f>
        <v>-4</v>
      </c>
      <c r="E645" s="70"/>
      <c r="F645" s="70">
        <f t="shared" si="476"/>
        <v>-4</v>
      </c>
      <c r="G645" s="70">
        <f>IFERROR(AR14+SQRT(H$17^2-(AS14-H13)^2),-4)</f>
        <v>-0.44896715019546374</v>
      </c>
      <c r="H645" s="70"/>
      <c r="I645" s="70">
        <f t="shared" si="477"/>
        <v>-4</v>
      </c>
      <c r="J645" s="70">
        <f>IFERROR(AR14+SQRT(K$17^2-(AS14-K13)^2),-4)</f>
        <v>-0.44896715019546374</v>
      </c>
      <c r="K645" s="70"/>
      <c r="L645" s="70">
        <f t="shared" si="478"/>
        <v>-4</v>
      </c>
      <c r="M645" s="70">
        <f>IFERROR(AR14+SQRT(N$17^2-(AS14-N13)^2),-4)</f>
        <v>-4</v>
      </c>
      <c r="N645" s="70"/>
      <c r="O645" s="70">
        <f t="shared" si="479"/>
        <v>-4</v>
      </c>
      <c r="P645" s="70">
        <f>IFERROR(AR14+SQRT(Q$17^2-(AS14-Q13)^2),-4)</f>
        <v>-4</v>
      </c>
      <c r="Q645" s="70"/>
      <c r="R645" s="70">
        <f t="shared" si="480"/>
        <v>-4</v>
      </c>
      <c r="S645" s="70">
        <f>IFERROR(AR14+SQRT(T$17^2-(AS14-T13)^2),-4)</f>
        <v>-4</v>
      </c>
      <c r="T645" s="70"/>
      <c r="U645" s="70">
        <f t="shared" si="481"/>
        <v>-4</v>
      </c>
      <c r="V645" s="70">
        <f>IFERROR(AR14+SQRT(W$17^2-(AS14-W13)^2),-4)</f>
        <v>-4</v>
      </c>
      <c r="W645" s="70"/>
      <c r="X645" s="70">
        <f t="shared" si="482"/>
        <v>-4</v>
      </c>
      <c r="Y645" s="70">
        <f>IFERROR(AR14+SQRT(Z$17^2-(AS14-Z13)^2),-4)</f>
        <v>-4</v>
      </c>
      <c r="Z645" s="70"/>
      <c r="AA645" s="70">
        <f t="shared" si="483"/>
        <v>-4</v>
      </c>
      <c r="AB645" s="70">
        <f>IFERROR(AR14+SQRT(AC$17^2-(AS14-AC13)^2),-4)</f>
        <v>-4</v>
      </c>
      <c r="AC645" s="70"/>
    </row>
    <row r="646" spans="1:29" s="2" customFormat="1">
      <c r="A646" s="70"/>
      <c r="B646" s="70"/>
      <c r="C646" s="70">
        <f t="shared" si="475"/>
        <v>-4</v>
      </c>
      <c r="D646" s="70">
        <f>IFERROR(AR14+SQRT($E$17^2-(AS14-E14)^2),-4)</f>
        <v>-4</v>
      </c>
      <c r="E646" s="70"/>
      <c r="F646" s="70">
        <f t="shared" si="476"/>
        <v>-4</v>
      </c>
      <c r="G646" s="70">
        <f>IFERROR(AR14+SQRT(H$17^2-(AS14-H14)^2),-4)</f>
        <v>-0.44896715019546374</v>
      </c>
      <c r="H646" s="70"/>
      <c r="I646" s="70">
        <f t="shared" si="477"/>
        <v>-4</v>
      </c>
      <c r="J646" s="70">
        <f>IFERROR(AR14+SQRT(K$17^2-(AS14-K14)^2),-4)</f>
        <v>-0.44896715019546374</v>
      </c>
      <c r="K646" s="70"/>
      <c r="L646" s="70">
        <f t="shared" si="478"/>
        <v>-4</v>
      </c>
      <c r="M646" s="70">
        <f>IFERROR(AR14+SQRT(N$17^2-(AS14-N14)^2),-4)</f>
        <v>-4</v>
      </c>
      <c r="N646" s="70"/>
      <c r="O646" s="70">
        <f t="shared" si="479"/>
        <v>-4</v>
      </c>
      <c r="P646" s="70">
        <f>IFERROR(AR14+SQRT(Q$17^2-(AS14-Q14)^2),-4)</f>
        <v>-4</v>
      </c>
      <c r="Q646" s="70"/>
      <c r="R646" s="70">
        <f t="shared" si="480"/>
        <v>-4</v>
      </c>
      <c r="S646" s="70">
        <f>IFERROR(AR14+SQRT(T$17^2-(AS14-T14)^2),-4)</f>
        <v>-4</v>
      </c>
      <c r="T646" s="70"/>
      <c r="U646" s="70">
        <f t="shared" si="481"/>
        <v>-4</v>
      </c>
      <c r="V646" s="70">
        <f>IFERROR(AR14+SQRT(W$17^2-(AS14-W14)^2),-4)</f>
        <v>-4</v>
      </c>
      <c r="W646" s="70"/>
      <c r="X646" s="70">
        <f t="shared" si="482"/>
        <v>-4</v>
      </c>
      <c r="Y646" s="70">
        <f>IFERROR(AR14+SQRT(Z$17^2-(AS14-Z14)^2),-4)</f>
        <v>-4</v>
      </c>
      <c r="Z646" s="70"/>
      <c r="AA646" s="70">
        <f t="shared" si="483"/>
        <v>-4</v>
      </c>
      <c r="AB646" s="70">
        <f>IFERROR(AR14+SQRT(AC$17^2-(AS14-AC14)^2),-4)</f>
        <v>-4</v>
      </c>
      <c r="AC646" s="70"/>
    </row>
    <row r="647" spans="1:29" s="2" customFormat="1">
      <c r="A647" s="70"/>
      <c r="B647" s="70"/>
      <c r="C647" s="70">
        <f t="shared" si="475"/>
        <v>-4</v>
      </c>
      <c r="D647" s="70">
        <f>IFERROR(AR14+SQRT($E$17^2-(AS14-E15)^2),-4)</f>
        <v>-4</v>
      </c>
      <c r="E647" s="70"/>
      <c r="F647" s="70">
        <f t="shared" si="476"/>
        <v>-4</v>
      </c>
      <c r="G647" s="70">
        <f>IFERROR(AR14+SQRT(H$17^2-(AS14-H15)^2),-4)</f>
        <v>-0.44896715019546374</v>
      </c>
      <c r="H647" s="70"/>
      <c r="I647" s="70">
        <f t="shared" si="477"/>
        <v>-4</v>
      </c>
      <c r="J647" s="70">
        <f>IFERROR(AR14+SQRT(K$17^2-(AS14-K15)^2),-4)</f>
        <v>-0.44896715019546374</v>
      </c>
      <c r="K647" s="70"/>
      <c r="L647" s="70">
        <f t="shared" si="478"/>
        <v>-4</v>
      </c>
      <c r="M647" s="70">
        <f>IFERROR(AR14+SQRT(N$17^2-(AS14-N15)^2),-4)</f>
        <v>-4</v>
      </c>
      <c r="N647" s="70"/>
      <c r="O647" s="70">
        <f t="shared" si="479"/>
        <v>-4</v>
      </c>
      <c r="P647" s="70">
        <f>IFERROR(AR14+SQRT(Q$17^2-(AS14-Q15)^2),-4)</f>
        <v>-4</v>
      </c>
      <c r="Q647" s="70"/>
      <c r="R647" s="70">
        <f t="shared" si="480"/>
        <v>-4</v>
      </c>
      <c r="S647" s="70">
        <f>IFERROR(AR14+SQRT(T$17^2-(AS14-T15)^2),-4)</f>
        <v>-4</v>
      </c>
      <c r="T647" s="70"/>
      <c r="U647" s="70">
        <f t="shared" si="481"/>
        <v>-4</v>
      </c>
      <c r="V647" s="70">
        <f>IFERROR(AR14+SQRT(W$17^2-(AS14-W15)^2),-4)</f>
        <v>-4</v>
      </c>
      <c r="W647" s="70"/>
      <c r="X647" s="70">
        <f t="shared" si="482"/>
        <v>-4</v>
      </c>
      <c r="Y647" s="70">
        <f>IFERROR(AR14+SQRT(Z$17^2-(AS14-Z15)^2),-4)</f>
        <v>-4</v>
      </c>
      <c r="Z647" s="70"/>
      <c r="AA647" s="70">
        <f t="shared" si="483"/>
        <v>-4</v>
      </c>
      <c r="AB647" s="70">
        <f>IFERROR(AR14+SQRT(AC$17^2-(AS14-AC15)^2),-4)</f>
        <v>-4</v>
      </c>
      <c r="AC647" s="70"/>
    </row>
    <row r="648" spans="1:29" s="2" customFormat="1">
      <c r="A648" s="70"/>
      <c r="B648" s="70"/>
      <c r="C648" s="70">
        <f t="shared" si="475"/>
        <v>-4</v>
      </c>
      <c r="D648" s="70">
        <f>IFERROR(AR14+SQRT($E$17^2-(AS14-E16)^2),-4)</f>
        <v>-4</v>
      </c>
      <c r="E648" s="70"/>
      <c r="F648" s="70">
        <f t="shared" si="476"/>
        <v>-4</v>
      </c>
      <c r="G648" s="70">
        <f>IFERROR(AR14+SQRT(H$17^2-(AS14-H16)^2),-4)</f>
        <v>-0.44896715019546374</v>
      </c>
      <c r="H648" s="70"/>
      <c r="I648" s="70">
        <f t="shared" si="477"/>
        <v>-4</v>
      </c>
      <c r="J648" s="70">
        <f>IFERROR(AR14+SQRT(K$17^2-(AS14-K16)^2),-4)</f>
        <v>-0.44896715019546374</v>
      </c>
      <c r="K648" s="70"/>
      <c r="L648" s="70">
        <f t="shared" si="478"/>
        <v>-4</v>
      </c>
      <c r="M648" s="70">
        <f>IFERROR(AR14+SQRT(N$17^2-(AS14-N16)^2),-4)</f>
        <v>-4</v>
      </c>
      <c r="N648" s="70"/>
      <c r="O648" s="70">
        <f t="shared" si="479"/>
        <v>-4</v>
      </c>
      <c r="P648" s="70">
        <f>IFERROR(AR14+SQRT(Q$17^2-(AS14-Q16)^2),-4)</f>
        <v>-4</v>
      </c>
      <c r="Q648" s="70"/>
      <c r="R648" s="70">
        <f t="shared" si="480"/>
        <v>-4</v>
      </c>
      <c r="S648" s="70">
        <f>IFERROR(AR14+SQRT(T$17^2-(AS14-T16)^2),-4)</f>
        <v>-4</v>
      </c>
      <c r="T648" s="70"/>
      <c r="U648" s="70">
        <f t="shared" si="481"/>
        <v>-4</v>
      </c>
      <c r="V648" s="70">
        <f>IFERROR(AR14+SQRT(W$17^2-(AS14-W16)^2),-4)</f>
        <v>-4</v>
      </c>
      <c r="W648" s="70"/>
      <c r="X648" s="70">
        <f t="shared" si="482"/>
        <v>-4</v>
      </c>
      <c r="Y648" s="70">
        <f>IFERROR(AR14+SQRT(Z$17^2-(AS14-Z16)^2),-4)</f>
        <v>-4</v>
      </c>
      <c r="Z648" s="70"/>
      <c r="AA648" s="70">
        <f t="shared" si="483"/>
        <v>-4</v>
      </c>
      <c r="AB648" s="70">
        <f>IFERROR(AR14+SQRT(AC$17^2-(AS14-AC16)^2),-4)</f>
        <v>-4</v>
      </c>
      <c r="AC648" s="70"/>
    </row>
    <row r="649" spans="1:29" s="2" customFormat="1">
      <c r="A649" s="70"/>
      <c r="B649" s="70"/>
      <c r="C649" s="70">
        <f t="shared" ref="C649:C656" si="484">IF($A$16,IF(D649&gt;D9,D9,D649),-4)</f>
        <v>-4</v>
      </c>
      <c r="D649" s="70">
        <f>IFERROR(AR15+SQRT($E$17^2-(AS15-E9)^2),-4)</f>
        <v>-4</v>
      </c>
      <c r="E649" s="70"/>
      <c r="F649" s="70">
        <f t="shared" ref="F649:F656" si="485">IF($A$16,IF(G649&gt;G9,G9,G649),-4)</f>
        <v>-4</v>
      </c>
      <c r="G649" s="70">
        <f>IFERROR(AR15+SQRT(H$17^2-(AS15-H9)^2),-4)</f>
        <v>-4</v>
      </c>
      <c r="H649" s="70"/>
      <c r="I649" s="70">
        <f t="shared" ref="I649:I656" si="486">IF($A$16,IF(J649&gt;J9,J9,J649),-4)</f>
        <v>-4</v>
      </c>
      <c r="J649" s="70">
        <f>IFERROR(AR15+SQRT(K$17^2-(AS15-K9)^2),-4)</f>
        <v>-4</v>
      </c>
      <c r="K649" s="70"/>
      <c r="L649" s="70">
        <f t="shared" ref="L649:L656" si="487">IF($A$16,IF(M649&gt;M9,M9,M649),-4)</f>
        <v>-4</v>
      </c>
      <c r="M649" s="70">
        <f>IFERROR(AR15+SQRT(N$17^2-(AS15-N9)^2),-4)</f>
        <v>-4</v>
      </c>
      <c r="N649" s="70"/>
      <c r="O649" s="70">
        <f t="shared" ref="O649:O656" si="488">IF($A$16,IF(P649&gt;P9,P9,P649),-4)</f>
        <v>-4</v>
      </c>
      <c r="P649" s="70">
        <f>IFERROR(AR15+SQRT(Q$17^2-(AS15-Q9)^2),-4)</f>
        <v>-4</v>
      </c>
      <c r="Q649" s="70"/>
      <c r="R649" s="70">
        <f t="shared" ref="R649:R656" si="489">IF($A$16,IF(S649&gt;S9,S9,S649),-4)</f>
        <v>-4</v>
      </c>
      <c r="S649" s="70">
        <f>IFERROR(AR15+SQRT(T$17^2-(AS15-T9)^2),-4)</f>
        <v>-4</v>
      </c>
      <c r="T649" s="70"/>
      <c r="U649" s="70">
        <f t="shared" ref="U649:U656" si="490">IF($A$16,IF(V649&gt;V9,V9,V649),-4)</f>
        <v>-4</v>
      </c>
      <c r="V649" s="70">
        <f>IFERROR(AR15+SQRT(W$17^2-(AS15-W9)^2),-4)</f>
        <v>-4</v>
      </c>
      <c r="W649" s="70"/>
      <c r="X649" s="70">
        <f t="shared" ref="X649:X656" si="491">IF($A$16,IF(Y649&gt;Y9,Y9,Y649),-4)</f>
        <v>-4</v>
      </c>
      <c r="Y649" s="70">
        <f>IFERROR(AR15+SQRT(Z$17^2-(AS15-Z9)^2),-4)</f>
        <v>-4</v>
      </c>
      <c r="Z649" s="70"/>
      <c r="AA649" s="70">
        <f t="shared" ref="AA649:AA656" si="492">IF($A$16,IF(AB649&gt;AB9,AB9,AB649),-4)</f>
        <v>-4</v>
      </c>
      <c r="AB649" s="70">
        <f>IFERROR(AR15+SQRT(AC$17^2-(AS15-AC9)^2),-4)</f>
        <v>-4</v>
      </c>
      <c r="AC649" s="70"/>
    </row>
    <row r="650" spans="1:29" s="2" customFormat="1">
      <c r="A650" s="70"/>
      <c r="B650" s="70" t="s">
        <v>234</v>
      </c>
      <c r="C650" s="70">
        <f t="shared" si="484"/>
        <v>-4</v>
      </c>
      <c r="D650" s="70">
        <f>IFERROR(AR15+SQRT($E$17^2-(AS15-E10)^2),-4)</f>
        <v>-4</v>
      </c>
      <c r="E650" s="70"/>
      <c r="F650" s="70">
        <f t="shared" si="485"/>
        <v>-4</v>
      </c>
      <c r="G650" s="70">
        <f>IFERROR(AR15+SQRT(H$17^2-(AS15-H10)^2),-4)</f>
        <v>-4</v>
      </c>
      <c r="H650" s="70"/>
      <c r="I650" s="70">
        <f t="shared" si="486"/>
        <v>-4</v>
      </c>
      <c r="J650" s="70">
        <f>IFERROR(AR15+SQRT(K$17^2-(AS15-K10)^2),-4)</f>
        <v>-4</v>
      </c>
      <c r="K650" s="70"/>
      <c r="L650" s="70">
        <f t="shared" si="487"/>
        <v>-4</v>
      </c>
      <c r="M650" s="70">
        <f>IFERROR(AR15+SQRT(N$17^2-(AS15-N10)^2),-4)</f>
        <v>-4</v>
      </c>
      <c r="N650" s="70"/>
      <c r="O650" s="70">
        <f t="shared" si="488"/>
        <v>-4</v>
      </c>
      <c r="P650" s="70">
        <f>IFERROR(AR15+SQRT(Q$17^2-(AS15-Q10)^2),-4)</f>
        <v>-4</v>
      </c>
      <c r="Q650" s="70"/>
      <c r="R650" s="70">
        <f t="shared" si="489"/>
        <v>-4</v>
      </c>
      <c r="S650" s="70">
        <f>IFERROR(AR15+SQRT(T$17^2-(AS15-T10)^2),-4)</f>
        <v>-4</v>
      </c>
      <c r="T650" s="70"/>
      <c r="U650" s="70">
        <f t="shared" si="490"/>
        <v>-4</v>
      </c>
      <c r="V650" s="70">
        <f>IFERROR(AR15+SQRT(W$17^2-(AS15-W10)^2),-4)</f>
        <v>-4</v>
      </c>
      <c r="W650" s="70"/>
      <c r="X650" s="70">
        <f t="shared" si="491"/>
        <v>-4</v>
      </c>
      <c r="Y650" s="70">
        <f>IFERROR(AR15+SQRT(Z$17^2-(AS15-Z10)^2),-4)</f>
        <v>-4</v>
      </c>
      <c r="Z650" s="70"/>
      <c r="AA650" s="70">
        <f t="shared" si="492"/>
        <v>-4</v>
      </c>
      <c r="AB650" s="70">
        <f>IFERROR(AR15+SQRT(AC$17^2-(AS15-AC10)^2),-4)</f>
        <v>-4</v>
      </c>
      <c r="AC650" s="70"/>
    </row>
    <row r="651" spans="1:29" s="2" customFormat="1">
      <c r="A651" s="70"/>
      <c r="B651" s="70"/>
      <c r="C651" s="70">
        <f t="shared" si="484"/>
        <v>-4</v>
      </c>
      <c r="D651" s="70">
        <f>IFERROR(AR15+SQRT($E$17^2-(AS15-E11)^2),-4)</f>
        <v>-4</v>
      </c>
      <c r="E651" s="70"/>
      <c r="F651" s="70">
        <f t="shared" si="485"/>
        <v>-4</v>
      </c>
      <c r="G651" s="70">
        <f>IFERROR(AR15+SQRT(H$17^2-(AS15-H11)^2),-4)</f>
        <v>-4</v>
      </c>
      <c r="H651" s="70"/>
      <c r="I651" s="70">
        <f t="shared" si="486"/>
        <v>-4</v>
      </c>
      <c r="J651" s="70">
        <f>IFERROR(AR15+SQRT(K$17^2-(AS15-K11)^2),-4)</f>
        <v>-4</v>
      </c>
      <c r="K651" s="70"/>
      <c r="L651" s="70">
        <f t="shared" si="487"/>
        <v>-4</v>
      </c>
      <c r="M651" s="70">
        <f>IFERROR(AR15+SQRT(N$17^2-(AS15-N11)^2),-4)</f>
        <v>-4</v>
      </c>
      <c r="N651" s="70"/>
      <c r="O651" s="70">
        <f t="shared" si="488"/>
        <v>-4</v>
      </c>
      <c r="P651" s="70">
        <f>IFERROR(AR15+SQRT(Q$17^2-(AS15-Q11)^2),-4)</f>
        <v>-4</v>
      </c>
      <c r="Q651" s="70"/>
      <c r="R651" s="70">
        <f t="shared" si="489"/>
        <v>-4</v>
      </c>
      <c r="S651" s="70">
        <f>IFERROR(AR15+SQRT(T$17^2-(AS15-T11)^2),-4)</f>
        <v>-4</v>
      </c>
      <c r="T651" s="70"/>
      <c r="U651" s="70">
        <f t="shared" si="490"/>
        <v>-4</v>
      </c>
      <c r="V651" s="70">
        <f>IFERROR(AR15+SQRT(W$17^2-(AS15-W11)^2),-4)</f>
        <v>-4</v>
      </c>
      <c r="W651" s="70"/>
      <c r="X651" s="70">
        <f t="shared" si="491"/>
        <v>-4</v>
      </c>
      <c r="Y651" s="70">
        <f>IFERROR(AR15+SQRT(Z$17^2-(AS15-Z11)^2),-4)</f>
        <v>-4</v>
      </c>
      <c r="Z651" s="70"/>
      <c r="AA651" s="70">
        <f t="shared" si="492"/>
        <v>-4</v>
      </c>
      <c r="AB651" s="70">
        <f>IFERROR(AR15+SQRT(AC$17^2-(AS15-AC11)^2),-4)</f>
        <v>-4</v>
      </c>
      <c r="AC651" s="70"/>
    </row>
    <row r="652" spans="1:29" s="2" customFormat="1">
      <c r="A652" s="70"/>
      <c r="B652" s="70"/>
      <c r="C652" s="70">
        <f t="shared" si="484"/>
        <v>-4</v>
      </c>
      <c r="D652" s="70">
        <f>IFERROR(AR15+SQRT($E$17^2-(AS15-E12)^2),-4)</f>
        <v>-4</v>
      </c>
      <c r="E652" s="70"/>
      <c r="F652" s="70">
        <f t="shared" si="485"/>
        <v>-4</v>
      </c>
      <c r="G652" s="70">
        <f>IFERROR(AR15+SQRT(H$17^2-(AS15-H12)^2),-4)</f>
        <v>-4</v>
      </c>
      <c r="H652" s="70"/>
      <c r="I652" s="70">
        <f t="shared" si="486"/>
        <v>-4</v>
      </c>
      <c r="J652" s="70">
        <f>IFERROR(AR15+SQRT(K$17^2-(AS15-K12)^2),-4)</f>
        <v>-4</v>
      </c>
      <c r="K652" s="70"/>
      <c r="L652" s="70">
        <f t="shared" si="487"/>
        <v>-4</v>
      </c>
      <c r="M652" s="70">
        <f>IFERROR(AR15+SQRT(N$17^2-(AS15-N12)^2),-4)</f>
        <v>-4</v>
      </c>
      <c r="N652" s="70"/>
      <c r="O652" s="70">
        <f t="shared" si="488"/>
        <v>-4</v>
      </c>
      <c r="P652" s="70">
        <f>IFERROR(AR15+SQRT(Q$17^2-(AS15-Q12)^2),-4)</f>
        <v>-4</v>
      </c>
      <c r="Q652" s="70"/>
      <c r="R652" s="70">
        <f t="shared" si="489"/>
        <v>-4</v>
      </c>
      <c r="S652" s="70">
        <f>IFERROR(AR15+SQRT(T$17^2-(AS15-T12)^2),-4)</f>
        <v>-4</v>
      </c>
      <c r="T652" s="70"/>
      <c r="U652" s="70">
        <f t="shared" si="490"/>
        <v>-4</v>
      </c>
      <c r="V652" s="70">
        <f>IFERROR(AR15+SQRT(W$17^2-(AS15-W12)^2),-4)</f>
        <v>-4</v>
      </c>
      <c r="W652" s="70"/>
      <c r="X652" s="70">
        <f t="shared" si="491"/>
        <v>-4</v>
      </c>
      <c r="Y652" s="70">
        <f>IFERROR(AR15+SQRT(Z$17^2-(AS15-Z12)^2),-4)</f>
        <v>-4</v>
      </c>
      <c r="Z652" s="70"/>
      <c r="AA652" s="70">
        <f t="shared" si="492"/>
        <v>-4</v>
      </c>
      <c r="AB652" s="70">
        <f>IFERROR(AR15+SQRT(AC$17^2-(AS15-AC12)^2),-4)</f>
        <v>-4</v>
      </c>
      <c r="AC652" s="70"/>
    </row>
    <row r="653" spans="1:29" s="2" customFormat="1">
      <c r="A653" s="70"/>
      <c r="B653" s="70"/>
      <c r="C653" s="70">
        <f t="shared" si="484"/>
        <v>-4</v>
      </c>
      <c r="D653" s="70">
        <f>IFERROR(AR15+SQRT($E$17^2-(AS15-E13)^2),-4)</f>
        <v>-4</v>
      </c>
      <c r="E653" s="70"/>
      <c r="F653" s="70">
        <f t="shared" si="485"/>
        <v>-4</v>
      </c>
      <c r="G653" s="70">
        <f>IFERROR(AR15+SQRT(H$17^2-(AS15-H13)^2),-4)</f>
        <v>-4</v>
      </c>
      <c r="H653" s="70"/>
      <c r="I653" s="70">
        <f t="shared" si="486"/>
        <v>-4</v>
      </c>
      <c r="J653" s="70">
        <f>IFERROR(AR15+SQRT(K$17^2-(AS15-K13)^2),-4)</f>
        <v>-4</v>
      </c>
      <c r="K653" s="70"/>
      <c r="L653" s="70">
        <f t="shared" si="487"/>
        <v>-4</v>
      </c>
      <c r="M653" s="70">
        <f>IFERROR(AR15+SQRT(N$17^2-(AS15-N13)^2),-4)</f>
        <v>-4</v>
      </c>
      <c r="N653" s="70"/>
      <c r="O653" s="70">
        <f t="shared" si="488"/>
        <v>-4</v>
      </c>
      <c r="P653" s="70">
        <f>IFERROR(AR15+SQRT(Q$17^2-(AS15-Q13)^2),-4)</f>
        <v>-4</v>
      </c>
      <c r="Q653" s="70"/>
      <c r="R653" s="70">
        <f t="shared" si="489"/>
        <v>-4</v>
      </c>
      <c r="S653" s="70">
        <f>IFERROR(AR15+SQRT(T$17^2-(AS15-T13)^2),-4)</f>
        <v>-4</v>
      </c>
      <c r="T653" s="70"/>
      <c r="U653" s="70">
        <f t="shared" si="490"/>
        <v>-4</v>
      </c>
      <c r="V653" s="70">
        <f>IFERROR(AR15+SQRT(W$17^2-(AS15-W13)^2),-4)</f>
        <v>-4</v>
      </c>
      <c r="W653" s="70"/>
      <c r="X653" s="70">
        <f t="shared" si="491"/>
        <v>-4</v>
      </c>
      <c r="Y653" s="70">
        <f>IFERROR(AR15+SQRT(Z$17^2-(AS15-Z13)^2),-4)</f>
        <v>-4</v>
      </c>
      <c r="Z653" s="70"/>
      <c r="AA653" s="70">
        <f t="shared" si="492"/>
        <v>-4</v>
      </c>
      <c r="AB653" s="70">
        <f>IFERROR(AR15+SQRT(AC$17^2-(AS15-AC13)^2),-4)</f>
        <v>-4</v>
      </c>
      <c r="AC653" s="70"/>
    </row>
    <row r="654" spans="1:29" s="2" customFormat="1">
      <c r="A654" s="70"/>
      <c r="B654" s="70"/>
      <c r="C654" s="70">
        <f t="shared" si="484"/>
        <v>-4</v>
      </c>
      <c r="D654" s="70">
        <f>IFERROR(AR15+SQRT($E$17^2-(AS15-E14)^2),-4)</f>
        <v>-4</v>
      </c>
      <c r="E654" s="70"/>
      <c r="F654" s="70">
        <f t="shared" si="485"/>
        <v>-4</v>
      </c>
      <c r="G654" s="70">
        <f>IFERROR(AR15+SQRT(H$17^2-(AS15-H14)^2),-4)</f>
        <v>-4</v>
      </c>
      <c r="H654" s="70"/>
      <c r="I654" s="70">
        <f t="shared" si="486"/>
        <v>-4</v>
      </c>
      <c r="J654" s="70">
        <f>IFERROR(AR15+SQRT(K$17^2-(AS15-K14)^2),-4)</f>
        <v>-4</v>
      </c>
      <c r="K654" s="70"/>
      <c r="L654" s="70">
        <f t="shared" si="487"/>
        <v>-4</v>
      </c>
      <c r="M654" s="70">
        <f>IFERROR(AR15+SQRT(N$17^2-(AS15-N14)^2),-4)</f>
        <v>-4</v>
      </c>
      <c r="N654" s="70"/>
      <c r="O654" s="70">
        <f t="shared" si="488"/>
        <v>-4</v>
      </c>
      <c r="P654" s="70">
        <f>IFERROR(AR15+SQRT(Q$17^2-(AS15-Q14)^2),-4)</f>
        <v>-4</v>
      </c>
      <c r="Q654" s="70"/>
      <c r="R654" s="70">
        <f t="shared" si="489"/>
        <v>-4</v>
      </c>
      <c r="S654" s="70">
        <f>IFERROR(AR15+SQRT(T$17^2-(AS15-T14)^2),-4)</f>
        <v>-4</v>
      </c>
      <c r="T654" s="70"/>
      <c r="U654" s="70">
        <f t="shared" si="490"/>
        <v>-4</v>
      </c>
      <c r="V654" s="70">
        <f>IFERROR(AR15+SQRT(W$17^2-(AS15-W14)^2),-4)</f>
        <v>-4</v>
      </c>
      <c r="W654" s="70"/>
      <c r="X654" s="70">
        <f t="shared" si="491"/>
        <v>-4</v>
      </c>
      <c r="Y654" s="70">
        <f>IFERROR(AR15+SQRT(Z$17^2-(AS15-Z14)^2),-4)</f>
        <v>-4</v>
      </c>
      <c r="Z654" s="70"/>
      <c r="AA654" s="70">
        <f t="shared" si="492"/>
        <v>-4</v>
      </c>
      <c r="AB654" s="70">
        <f>IFERROR(AR15+SQRT(AC$17^2-(AS15-AC14)^2),-4)</f>
        <v>-4</v>
      </c>
      <c r="AC654" s="70"/>
    </row>
    <row r="655" spans="1:29" s="2" customFormat="1">
      <c r="A655" s="70"/>
      <c r="B655" s="70"/>
      <c r="C655" s="70">
        <f t="shared" si="484"/>
        <v>-4</v>
      </c>
      <c r="D655" s="70">
        <f>IFERROR(AR15+SQRT($E$17^2-(AS15-E15)^2),-4)</f>
        <v>-4</v>
      </c>
      <c r="E655" s="70"/>
      <c r="F655" s="70">
        <f t="shared" si="485"/>
        <v>-4</v>
      </c>
      <c r="G655" s="70">
        <f>IFERROR(AR15+SQRT(H$17^2-(AS15-H15)^2),-4)</f>
        <v>-4</v>
      </c>
      <c r="H655" s="70"/>
      <c r="I655" s="70">
        <f t="shared" si="486"/>
        <v>-4</v>
      </c>
      <c r="J655" s="70">
        <f>IFERROR(AR15+SQRT(K$17^2-(AS15-K15)^2),-4)</f>
        <v>-4</v>
      </c>
      <c r="K655" s="70"/>
      <c r="L655" s="70">
        <f t="shared" si="487"/>
        <v>-4</v>
      </c>
      <c r="M655" s="70">
        <f>IFERROR(AR15+SQRT(N$17^2-(AS15-N15)^2),-4)</f>
        <v>-4</v>
      </c>
      <c r="N655" s="70"/>
      <c r="O655" s="70">
        <f t="shared" si="488"/>
        <v>-4</v>
      </c>
      <c r="P655" s="70">
        <f>IFERROR(AR15+SQRT(Q$17^2-(AS15-Q15)^2),-4)</f>
        <v>-4</v>
      </c>
      <c r="Q655" s="70"/>
      <c r="R655" s="70">
        <f t="shared" si="489"/>
        <v>-4</v>
      </c>
      <c r="S655" s="70">
        <f>IFERROR(AR15+SQRT(T$17^2-(AS15-T15)^2),-4)</f>
        <v>-4</v>
      </c>
      <c r="T655" s="70"/>
      <c r="U655" s="70">
        <f t="shared" si="490"/>
        <v>-4</v>
      </c>
      <c r="V655" s="70">
        <f>IFERROR(AR15+SQRT(W$17^2-(AS15-W15)^2),-4)</f>
        <v>-4</v>
      </c>
      <c r="W655" s="70"/>
      <c r="X655" s="70">
        <f t="shared" si="491"/>
        <v>-4</v>
      </c>
      <c r="Y655" s="70">
        <f>IFERROR(AR15+SQRT(Z$17^2-(AS15-Z15)^2),-4)</f>
        <v>-4</v>
      </c>
      <c r="Z655" s="70"/>
      <c r="AA655" s="70">
        <f t="shared" si="492"/>
        <v>-4</v>
      </c>
      <c r="AB655" s="70">
        <f>IFERROR(AR15+SQRT(AC$17^2-(AS15-AC15)^2),-4)</f>
        <v>-4</v>
      </c>
      <c r="AC655" s="70"/>
    </row>
    <row r="656" spans="1:29" s="2" customFormat="1">
      <c r="A656" s="70"/>
      <c r="B656" s="70"/>
      <c r="C656" s="70">
        <f t="shared" si="484"/>
        <v>-4</v>
      </c>
      <c r="D656" s="70">
        <f>IFERROR(AR15+SQRT($E$17^2-(AS15-E16)^2),-4)</f>
        <v>-4</v>
      </c>
      <c r="E656" s="70"/>
      <c r="F656" s="70">
        <f t="shared" si="485"/>
        <v>-4</v>
      </c>
      <c r="G656" s="70">
        <f>IFERROR(AR15+SQRT(H$17^2-(AS15-H16)^2),-4)</f>
        <v>-4</v>
      </c>
      <c r="H656" s="70"/>
      <c r="I656" s="70">
        <f t="shared" si="486"/>
        <v>-4</v>
      </c>
      <c r="J656" s="70">
        <f>IFERROR(AR15+SQRT(K$17^2-(AS15-K16)^2),-4)</f>
        <v>-4</v>
      </c>
      <c r="K656" s="70"/>
      <c r="L656" s="70">
        <f t="shared" si="487"/>
        <v>-4</v>
      </c>
      <c r="M656" s="70">
        <f>IFERROR(AR15+SQRT(N$17^2-(AS15-N16)^2),-4)</f>
        <v>-4</v>
      </c>
      <c r="N656" s="70"/>
      <c r="O656" s="70">
        <f t="shared" si="488"/>
        <v>-4</v>
      </c>
      <c r="P656" s="70">
        <f>IFERROR(AR15+SQRT(Q$17^2-(AS15-Q16)^2),-4)</f>
        <v>-4</v>
      </c>
      <c r="Q656" s="70"/>
      <c r="R656" s="70">
        <f t="shared" si="489"/>
        <v>-4</v>
      </c>
      <c r="S656" s="70">
        <f>IFERROR(AR15+SQRT(T$17^2-(AS15-T16)^2),-4)</f>
        <v>-4</v>
      </c>
      <c r="T656" s="70"/>
      <c r="U656" s="70">
        <f t="shared" si="490"/>
        <v>-4</v>
      </c>
      <c r="V656" s="70">
        <f>IFERROR(AR15+SQRT(W$17^2-(AS15-W16)^2),-4)</f>
        <v>-4</v>
      </c>
      <c r="W656" s="70"/>
      <c r="X656" s="70">
        <f t="shared" si="491"/>
        <v>-4</v>
      </c>
      <c r="Y656" s="70">
        <f>IFERROR(AR15+SQRT(Z$17^2-(AS15-Z16)^2),-4)</f>
        <v>-4</v>
      </c>
      <c r="Z656" s="70"/>
      <c r="AA656" s="70">
        <f t="shared" si="492"/>
        <v>-4</v>
      </c>
      <c r="AB656" s="70">
        <f>IFERROR(AR15+SQRT(AC$17^2-(AS15-AC16)^2),-4)</f>
        <v>-4</v>
      </c>
      <c r="AC656" s="70"/>
    </row>
    <row r="657" spans="1:29" s="2" customFormat="1">
      <c r="A657" s="70"/>
      <c r="B657" s="70"/>
      <c r="C657" s="70">
        <f t="shared" ref="C657:C664" si="493">IF($A$16,IF(D657&gt;D9,D9,D657),-4)</f>
        <v>-4</v>
      </c>
      <c r="D657" s="70">
        <f>IFERROR(AR16+SQRT($E$17^2-(AS16-E9)^2),-4)</f>
        <v>-4</v>
      </c>
      <c r="E657" s="70"/>
      <c r="F657" s="70">
        <f t="shared" ref="F657:F664" si="494">IF($A$16,IF(G657&gt;G9,G9,G657),-4)</f>
        <v>-4</v>
      </c>
      <c r="G657" s="70">
        <f>IFERROR(AR16+SQRT(H$17^2-(AS16-H9)^2),-4)</f>
        <v>0.5781627799841047</v>
      </c>
      <c r="H657" s="70"/>
      <c r="I657" s="70">
        <f t="shared" ref="I657:I664" si="495">IF($A$16,IF(J657&gt;J9,J9,J657),-4)</f>
        <v>-4</v>
      </c>
      <c r="J657" s="70">
        <f>IFERROR(AR16+SQRT(K$17^2-(AS16-K9)^2),-4)</f>
        <v>0.5781627799841047</v>
      </c>
      <c r="K657" s="70"/>
      <c r="L657" s="70">
        <f t="shared" ref="L657:L664" si="496">IF($A$16,IF(M657&gt;M9,M9,M657),-4)</f>
        <v>-4</v>
      </c>
      <c r="M657" s="70">
        <f>IFERROR(AR16+SQRT(N$17^2-(AS16-N9)^2),-4)</f>
        <v>-4</v>
      </c>
      <c r="N657" s="70"/>
      <c r="O657" s="70">
        <f t="shared" ref="O657:O664" si="497">IF($A$16,IF(P657&gt;P9,P9,P657),-4)</f>
        <v>-4</v>
      </c>
      <c r="P657" s="70">
        <f>IFERROR(AR16+SQRT(Q$17^2-(AS16-Q9)^2),-4)</f>
        <v>-4</v>
      </c>
      <c r="Q657" s="70"/>
      <c r="R657" s="70">
        <f t="shared" ref="R657:R664" si="498">IF($A$16,IF(S657&gt;S9,S9,S657),-4)</f>
        <v>-4</v>
      </c>
      <c r="S657" s="70">
        <f>IFERROR(AR16+SQRT(T$17^2-(AS16-T9)^2),-4)</f>
        <v>-4</v>
      </c>
      <c r="T657" s="70"/>
      <c r="U657" s="70">
        <f t="shared" ref="U657:U664" si="499">IF($A$16,IF(V657&gt;V9,V9,V657),-4)</f>
        <v>-4</v>
      </c>
      <c r="V657" s="70">
        <f>IFERROR(AR16+SQRT(W$17^2-(AS16-W9)^2),-4)</f>
        <v>-4</v>
      </c>
      <c r="W657" s="70"/>
      <c r="X657" s="70">
        <f t="shared" ref="X657:X664" si="500">IF($A$16,IF(Y657&gt;Y9,Y9,Y657),-4)</f>
        <v>-4</v>
      </c>
      <c r="Y657" s="70">
        <f>IFERROR(AR16+SQRT(Z$17^2-(AS16-Z9)^2),-4)</f>
        <v>-4</v>
      </c>
      <c r="Z657" s="70"/>
      <c r="AA657" s="70">
        <f t="shared" ref="AA657:AA664" si="501">IF($A$16,IF(AB657&gt;AB9,AB9,AB657),-4)</f>
        <v>-4</v>
      </c>
      <c r="AB657" s="70">
        <f>IFERROR(AR16+SQRT(AC$17^2-(AS16-AC9)^2),-4)</f>
        <v>-4</v>
      </c>
      <c r="AC657" s="70"/>
    </row>
    <row r="658" spans="1:29" s="2" customFormat="1">
      <c r="A658" s="70"/>
      <c r="B658" s="70" t="s">
        <v>235</v>
      </c>
      <c r="C658" s="70">
        <f t="shared" si="493"/>
        <v>-4</v>
      </c>
      <c r="D658" s="70">
        <f>IFERROR(AR16+SQRT($E$17^2-(AS16-E10)^2),-4)</f>
        <v>-4</v>
      </c>
      <c r="E658" s="70"/>
      <c r="F658" s="70">
        <f t="shared" si="494"/>
        <v>-4</v>
      </c>
      <c r="G658" s="70">
        <f>IFERROR(AR16+SQRT(H$17^2-(AS16-H10)^2),-4)</f>
        <v>0.5781627799841047</v>
      </c>
      <c r="H658" s="70"/>
      <c r="I658" s="70">
        <f t="shared" si="495"/>
        <v>-4</v>
      </c>
      <c r="J658" s="70">
        <f>IFERROR(AR16+SQRT(K$17^2-(AS16-K10)^2),-4)</f>
        <v>0.5781627799841047</v>
      </c>
      <c r="K658" s="70"/>
      <c r="L658" s="70">
        <f t="shared" si="496"/>
        <v>-4</v>
      </c>
      <c r="M658" s="70">
        <f>IFERROR(AR16+SQRT(N$17^2-(AS16-N10)^2),-4)</f>
        <v>-4</v>
      </c>
      <c r="N658" s="70"/>
      <c r="O658" s="70">
        <f t="shared" si="497"/>
        <v>-4</v>
      </c>
      <c r="P658" s="70">
        <f>IFERROR(AR16+SQRT(Q$17^2-(AS16-Q10)^2),-4)</f>
        <v>-4</v>
      </c>
      <c r="Q658" s="70"/>
      <c r="R658" s="70">
        <f t="shared" si="498"/>
        <v>-4</v>
      </c>
      <c r="S658" s="70">
        <f>IFERROR(AR16+SQRT(T$17^2-(AS16-T10)^2),-4)</f>
        <v>-4</v>
      </c>
      <c r="T658" s="70"/>
      <c r="U658" s="70">
        <f t="shared" si="499"/>
        <v>-4</v>
      </c>
      <c r="V658" s="70">
        <f>IFERROR(AR16+SQRT(W$17^2-(AS16-W10)^2),-4)</f>
        <v>-4</v>
      </c>
      <c r="W658" s="70"/>
      <c r="X658" s="70">
        <f t="shared" si="500"/>
        <v>-4</v>
      </c>
      <c r="Y658" s="70">
        <f>IFERROR(AR16+SQRT(Z$17^2-(AS16-Z10)^2),-4)</f>
        <v>-4</v>
      </c>
      <c r="Z658" s="70"/>
      <c r="AA658" s="70">
        <f t="shared" si="501"/>
        <v>-4</v>
      </c>
      <c r="AB658" s="70">
        <f>IFERROR(AR16+SQRT(AC$17^2-(AS16-AC10)^2),-4)</f>
        <v>-4</v>
      </c>
      <c r="AC658" s="70"/>
    </row>
    <row r="659" spans="1:29" s="2" customFormat="1">
      <c r="A659" s="70"/>
      <c r="B659" s="70"/>
      <c r="C659" s="70">
        <f t="shared" si="493"/>
        <v>-4</v>
      </c>
      <c r="D659" s="70">
        <f>IFERROR(AR16+SQRT($E$17^2-(AS16-E11)^2),-4)</f>
        <v>-4</v>
      </c>
      <c r="E659" s="70"/>
      <c r="F659" s="70">
        <f t="shared" si="494"/>
        <v>-4</v>
      </c>
      <c r="G659" s="70">
        <f>IFERROR(AR16+SQRT(H$17^2-(AS16-H11)^2),-4)</f>
        <v>0.5781627799841047</v>
      </c>
      <c r="H659" s="70"/>
      <c r="I659" s="70">
        <f t="shared" si="495"/>
        <v>-4</v>
      </c>
      <c r="J659" s="70">
        <f>IFERROR(AR16+SQRT(K$17^2-(AS16-K11)^2),-4)</f>
        <v>0.5781627799841047</v>
      </c>
      <c r="K659" s="70"/>
      <c r="L659" s="70">
        <f t="shared" si="496"/>
        <v>-4</v>
      </c>
      <c r="M659" s="70">
        <f>IFERROR(AR16+SQRT(N$17^2-(AS16-N11)^2),-4)</f>
        <v>-4</v>
      </c>
      <c r="N659" s="70"/>
      <c r="O659" s="70">
        <f t="shared" si="497"/>
        <v>-4</v>
      </c>
      <c r="P659" s="70">
        <f>IFERROR(AR16+SQRT(Q$17^2-(AS16-Q11)^2),-4)</f>
        <v>-4</v>
      </c>
      <c r="Q659" s="70"/>
      <c r="R659" s="70">
        <f t="shared" si="498"/>
        <v>-4</v>
      </c>
      <c r="S659" s="70">
        <f>IFERROR(AR16+SQRT(T$17^2-(AS16-T11)^2),-4)</f>
        <v>-4</v>
      </c>
      <c r="T659" s="70"/>
      <c r="U659" s="70">
        <f t="shared" si="499"/>
        <v>-4</v>
      </c>
      <c r="V659" s="70">
        <f>IFERROR(AR16+SQRT(W$17^2-(AS16-W11)^2),-4)</f>
        <v>-4</v>
      </c>
      <c r="W659" s="70"/>
      <c r="X659" s="70">
        <f t="shared" si="500"/>
        <v>-4</v>
      </c>
      <c r="Y659" s="70">
        <f>IFERROR(AR16+SQRT(Z$17^2-(AS16-Z11)^2),-4)</f>
        <v>-4</v>
      </c>
      <c r="Z659" s="70"/>
      <c r="AA659" s="70">
        <f t="shared" si="501"/>
        <v>-4</v>
      </c>
      <c r="AB659" s="70">
        <f>IFERROR(AR16+SQRT(AC$17^2-(AS16-AC11)^2),-4)</f>
        <v>-4</v>
      </c>
      <c r="AC659" s="70"/>
    </row>
    <row r="660" spans="1:29" s="2" customFormat="1">
      <c r="A660" s="70"/>
      <c r="B660" s="70"/>
      <c r="C660" s="70">
        <f t="shared" si="493"/>
        <v>-4</v>
      </c>
      <c r="D660" s="70">
        <f>IFERROR(AR16+SQRT($E$17^2-(AS16-E12)^2),-4)</f>
        <v>-4</v>
      </c>
      <c r="E660" s="70"/>
      <c r="F660" s="70">
        <f t="shared" si="494"/>
        <v>-4</v>
      </c>
      <c r="G660" s="70">
        <f>IFERROR(AR16+SQRT(H$17^2-(AS16-H12)^2),-4)</f>
        <v>0.5781627799841047</v>
      </c>
      <c r="H660" s="70"/>
      <c r="I660" s="70">
        <f t="shared" si="495"/>
        <v>-4</v>
      </c>
      <c r="J660" s="70">
        <f>IFERROR(AR16+SQRT(K$17^2-(AS16-K12)^2),-4)</f>
        <v>0.5781627799841047</v>
      </c>
      <c r="K660" s="70"/>
      <c r="L660" s="70">
        <f t="shared" si="496"/>
        <v>-4</v>
      </c>
      <c r="M660" s="70">
        <f>IFERROR(AR16+SQRT(N$17^2-(AS16-N12)^2),-4)</f>
        <v>-4</v>
      </c>
      <c r="N660" s="70"/>
      <c r="O660" s="70">
        <f t="shared" si="497"/>
        <v>-4</v>
      </c>
      <c r="P660" s="70">
        <f>IFERROR(AR16+SQRT(Q$17^2-(AS16-Q12)^2),-4)</f>
        <v>-4</v>
      </c>
      <c r="Q660" s="70"/>
      <c r="R660" s="70">
        <f t="shared" si="498"/>
        <v>-4</v>
      </c>
      <c r="S660" s="70">
        <f>IFERROR(AR16+SQRT(T$17^2-(AS16-T12)^2),-4)</f>
        <v>-4</v>
      </c>
      <c r="T660" s="70"/>
      <c r="U660" s="70">
        <f t="shared" si="499"/>
        <v>-4</v>
      </c>
      <c r="V660" s="70">
        <f>IFERROR(AR16+SQRT(W$17^2-(AS16-W12)^2),-4)</f>
        <v>-4</v>
      </c>
      <c r="W660" s="70"/>
      <c r="X660" s="70">
        <f t="shared" si="500"/>
        <v>-4</v>
      </c>
      <c r="Y660" s="70">
        <f>IFERROR(AR16+SQRT(Z$17^2-(AS16-Z12)^2),-4)</f>
        <v>-4</v>
      </c>
      <c r="Z660" s="70"/>
      <c r="AA660" s="70">
        <f t="shared" si="501"/>
        <v>-4</v>
      </c>
      <c r="AB660" s="70">
        <f>IFERROR(AR16+SQRT(AC$17^2-(AS16-AC12)^2),-4)</f>
        <v>-4</v>
      </c>
      <c r="AC660" s="70"/>
    </row>
    <row r="661" spans="1:29" s="2" customFormat="1">
      <c r="A661" s="70"/>
      <c r="B661" s="70"/>
      <c r="C661" s="70">
        <f t="shared" si="493"/>
        <v>-4</v>
      </c>
      <c r="D661" s="70">
        <f>IFERROR(AR16+SQRT($E$17^2-(AS16-E13)^2),-4)</f>
        <v>-4</v>
      </c>
      <c r="E661" s="70"/>
      <c r="F661" s="70">
        <f t="shared" si="494"/>
        <v>-4</v>
      </c>
      <c r="G661" s="70">
        <f>IFERROR(AR16+SQRT(H$17^2-(AS16-H13)^2),-4)</f>
        <v>0.5781627799841047</v>
      </c>
      <c r="H661" s="70"/>
      <c r="I661" s="70">
        <f t="shared" si="495"/>
        <v>-4</v>
      </c>
      <c r="J661" s="70">
        <f>IFERROR(AR16+SQRT(K$17^2-(AS16-K13)^2),-4)</f>
        <v>0.5781627799841047</v>
      </c>
      <c r="K661" s="70"/>
      <c r="L661" s="70">
        <f t="shared" si="496"/>
        <v>-4</v>
      </c>
      <c r="M661" s="70">
        <f>IFERROR(AR16+SQRT(N$17^2-(AS16-N13)^2),-4)</f>
        <v>-4</v>
      </c>
      <c r="N661" s="70"/>
      <c r="O661" s="70">
        <f t="shared" si="497"/>
        <v>-4</v>
      </c>
      <c r="P661" s="70">
        <f>IFERROR(AR16+SQRT(Q$17^2-(AS16-Q13)^2),-4)</f>
        <v>-4</v>
      </c>
      <c r="Q661" s="70"/>
      <c r="R661" s="70">
        <f t="shared" si="498"/>
        <v>-4</v>
      </c>
      <c r="S661" s="70">
        <f>IFERROR(AR16+SQRT(T$17^2-(AS16-T13)^2),-4)</f>
        <v>-4</v>
      </c>
      <c r="T661" s="70"/>
      <c r="U661" s="70">
        <f t="shared" si="499"/>
        <v>-4</v>
      </c>
      <c r="V661" s="70">
        <f>IFERROR(AR16+SQRT(W$17^2-(AS16-W13)^2),-4)</f>
        <v>-4</v>
      </c>
      <c r="W661" s="70"/>
      <c r="X661" s="70">
        <f t="shared" si="500"/>
        <v>-4</v>
      </c>
      <c r="Y661" s="70">
        <f>IFERROR(AR16+SQRT(Z$17^2-(AS16-Z13)^2),-4)</f>
        <v>-4</v>
      </c>
      <c r="Z661" s="70"/>
      <c r="AA661" s="70">
        <f t="shared" si="501"/>
        <v>-4</v>
      </c>
      <c r="AB661" s="70">
        <f>IFERROR(AR16+SQRT(AC$17^2-(AS16-AC13)^2),-4)</f>
        <v>-4</v>
      </c>
      <c r="AC661" s="70"/>
    </row>
    <row r="662" spans="1:29" s="2" customFormat="1">
      <c r="A662" s="70"/>
      <c r="B662" s="70"/>
      <c r="C662" s="70">
        <f t="shared" si="493"/>
        <v>-4</v>
      </c>
      <c r="D662" s="70">
        <f>IFERROR(AR16+SQRT($E$17^2-(AS16-E14)^2),-4)</f>
        <v>-4</v>
      </c>
      <c r="E662" s="70"/>
      <c r="F662" s="70">
        <f t="shared" si="494"/>
        <v>-4</v>
      </c>
      <c r="G662" s="70">
        <f>IFERROR(AR16+SQRT(H$17^2-(AS16-H14)^2),-4)</f>
        <v>0.5781627799841047</v>
      </c>
      <c r="H662" s="70"/>
      <c r="I662" s="70">
        <f t="shared" si="495"/>
        <v>-4</v>
      </c>
      <c r="J662" s="70">
        <f>IFERROR(AR16+SQRT(K$17^2-(AS16-K14)^2),-4)</f>
        <v>0.5781627799841047</v>
      </c>
      <c r="K662" s="70"/>
      <c r="L662" s="70">
        <f t="shared" si="496"/>
        <v>-4</v>
      </c>
      <c r="M662" s="70">
        <f>IFERROR(AR16+SQRT(N$17^2-(AS16-N14)^2),-4)</f>
        <v>-4</v>
      </c>
      <c r="N662" s="70"/>
      <c r="O662" s="70">
        <f t="shared" si="497"/>
        <v>-4</v>
      </c>
      <c r="P662" s="70">
        <f>IFERROR(AR16+SQRT(Q$17^2-(AS16-Q14)^2),-4)</f>
        <v>-4</v>
      </c>
      <c r="Q662" s="70"/>
      <c r="R662" s="70">
        <f t="shared" si="498"/>
        <v>-4</v>
      </c>
      <c r="S662" s="70">
        <f>IFERROR(AR16+SQRT(T$17^2-(AS16-T14)^2),-4)</f>
        <v>-4</v>
      </c>
      <c r="T662" s="70"/>
      <c r="U662" s="70">
        <f t="shared" si="499"/>
        <v>-4</v>
      </c>
      <c r="V662" s="70">
        <f>IFERROR(AR16+SQRT(W$17^2-(AS16-W14)^2),-4)</f>
        <v>-4</v>
      </c>
      <c r="W662" s="70"/>
      <c r="X662" s="70">
        <f t="shared" si="500"/>
        <v>-4</v>
      </c>
      <c r="Y662" s="70">
        <f>IFERROR(AR16+SQRT(Z$17^2-(AS16-Z14)^2),-4)</f>
        <v>-4</v>
      </c>
      <c r="Z662" s="70"/>
      <c r="AA662" s="70">
        <f t="shared" si="501"/>
        <v>-4</v>
      </c>
      <c r="AB662" s="70">
        <f>IFERROR(AR16+SQRT(AC$17^2-(AS16-AC14)^2),-4)</f>
        <v>-4</v>
      </c>
      <c r="AC662" s="70"/>
    </row>
    <row r="663" spans="1:29" s="2" customFormat="1">
      <c r="A663" s="70"/>
      <c r="B663" s="70"/>
      <c r="C663" s="70">
        <f t="shared" si="493"/>
        <v>-4</v>
      </c>
      <c r="D663" s="70">
        <f>IFERROR(AR16+SQRT($E$17^2-(AS16-E15)^2),-4)</f>
        <v>-4</v>
      </c>
      <c r="E663" s="70"/>
      <c r="F663" s="70">
        <f t="shared" si="494"/>
        <v>-4</v>
      </c>
      <c r="G663" s="70">
        <f>IFERROR(AR16+SQRT(H$17^2-(AS16-H15)^2),-4)</f>
        <v>0.5781627799841047</v>
      </c>
      <c r="H663" s="70"/>
      <c r="I663" s="70">
        <f t="shared" si="495"/>
        <v>-4</v>
      </c>
      <c r="J663" s="70">
        <f>IFERROR(AR16+SQRT(K$17^2-(AS16-K15)^2),-4)</f>
        <v>0.5781627799841047</v>
      </c>
      <c r="K663" s="70"/>
      <c r="L663" s="70">
        <f t="shared" si="496"/>
        <v>-4</v>
      </c>
      <c r="M663" s="70">
        <f>IFERROR(AR16+SQRT(N$17^2-(AS16-N15)^2),-4)</f>
        <v>-4</v>
      </c>
      <c r="N663" s="70"/>
      <c r="O663" s="70">
        <f t="shared" si="497"/>
        <v>-4</v>
      </c>
      <c r="P663" s="70">
        <f>IFERROR(AR16+SQRT(Q$17^2-(AS16-Q15)^2),-4)</f>
        <v>-4</v>
      </c>
      <c r="Q663" s="70"/>
      <c r="R663" s="70">
        <f t="shared" si="498"/>
        <v>-4</v>
      </c>
      <c r="S663" s="70">
        <f>IFERROR(AR16+SQRT(T$17^2-(AS16-T15)^2),-4)</f>
        <v>-4</v>
      </c>
      <c r="T663" s="70"/>
      <c r="U663" s="70">
        <f t="shared" si="499"/>
        <v>-4</v>
      </c>
      <c r="V663" s="70">
        <f>IFERROR(AR16+SQRT(W$17^2-(AS16-W15)^2),-4)</f>
        <v>-4</v>
      </c>
      <c r="W663" s="70"/>
      <c r="X663" s="70">
        <f t="shared" si="500"/>
        <v>-4</v>
      </c>
      <c r="Y663" s="70">
        <f>IFERROR(AR16+SQRT(Z$17^2-(AS16-Z15)^2),-4)</f>
        <v>-4</v>
      </c>
      <c r="Z663" s="70"/>
      <c r="AA663" s="70">
        <f t="shared" si="501"/>
        <v>-4</v>
      </c>
      <c r="AB663" s="70">
        <f>IFERROR(AR16+SQRT(AC$17^2-(AS16-AC15)^2),-4)</f>
        <v>-4</v>
      </c>
      <c r="AC663" s="70"/>
    </row>
    <row r="664" spans="1:29" s="2" customFormat="1">
      <c r="A664" s="70"/>
      <c r="B664" s="70"/>
      <c r="C664" s="70">
        <f t="shared" si="493"/>
        <v>-4</v>
      </c>
      <c r="D664" s="70">
        <f>IFERROR(AR16+SQRT($E$17^2-(AS16-E16)^2),-4)</f>
        <v>-4</v>
      </c>
      <c r="E664" s="70"/>
      <c r="F664" s="70">
        <f t="shared" si="494"/>
        <v>-4</v>
      </c>
      <c r="G664" s="70">
        <f>IFERROR(AR16+SQRT(H$17^2-(AS16-H16)^2),-4)</f>
        <v>0.5781627799841047</v>
      </c>
      <c r="H664" s="70"/>
      <c r="I664" s="70">
        <f t="shared" si="495"/>
        <v>-4</v>
      </c>
      <c r="J664" s="70">
        <f>IFERROR(AR16+SQRT(K$17^2-(AS16-K16)^2),-4)</f>
        <v>0.5781627799841047</v>
      </c>
      <c r="K664" s="70"/>
      <c r="L664" s="70">
        <f t="shared" si="496"/>
        <v>-4</v>
      </c>
      <c r="M664" s="70">
        <f>IFERROR(AR16+SQRT(N$17^2-(AS16-N16)^2),-4)</f>
        <v>-4</v>
      </c>
      <c r="N664" s="70"/>
      <c r="O664" s="70">
        <f t="shared" si="497"/>
        <v>-4</v>
      </c>
      <c r="P664" s="70">
        <f>IFERROR(AR16+SQRT(Q$17^2-(AS16-Q16)^2),-4)</f>
        <v>-4</v>
      </c>
      <c r="Q664" s="70"/>
      <c r="R664" s="70">
        <f t="shared" si="498"/>
        <v>-4</v>
      </c>
      <c r="S664" s="70">
        <f>IFERROR(AR16+SQRT(T$17^2-(AS16-T16)^2),-4)</f>
        <v>-4</v>
      </c>
      <c r="T664" s="70"/>
      <c r="U664" s="70">
        <f t="shared" si="499"/>
        <v>-4</v>
      </c>
      <c r="V664" s="70">
        <f>IFERROR(AR16+SQRT(W$17^2-(AS16-W16)^2),-4)</f>
        <v>-4</v>
      </c>
      <c r="W664" s="70"/>
      <c r="X664" s="70">
        <f t="shared" si="500"/>
        <v>-4</v>
      </c>
      <c r="Y664" s="70">
        <f>IFERROR(AR16+SQRT(Z$17^2-(AS16-Z16)^2),-4)</f>
        <v>-4</v>
      </c>
      <c r="Z664" s="70"/>
      <c r="AA664" s="70">
        <f t="shared" si="501"/>
        <v>-4</v>
      </c>
      <c r="AB664" s="70">
        <f>IFERROR(AR16+SQRT(AC$17^2-(AS16-AC16)^2),-4)</f>
        <v>-4</v>
      </c>
      <c r="AC664" s="70"/>
    </row>
    <row r="665" spans="1:29" s="2" customFormat="1">
      <c r="A665" s="70"/>
      <c r="B665" s="70"/>
      <c r="C665" s="70">
        <f t="shared" ref="C665:C672" si="502">IF($A$18,IF(D665&gt;D9,D9,D665),-4)</f>
        <v>-4</v>
      </c>
      <c r="D665" s="70">
        <f t="shared" ref="D665:D672" si="503">IFERROR($AR$17+SQRT($E$17^2-($AS$17-E9)^2),-4)</f>
        <v>-4</v>
      </c>
      <c r="E665" s="70"/>
      <c r="F665" s="70">
        <f t="shared" ref="F665:F672" si="504">IF($A$18,IF(G665&gt;G9,G9,G665),-4)</f>
        <v>-4</v>
      </c>
      <c r="G665" s="70">
        <f t="shared" ref="G665:G672" si="505">IFERROR($AR$17+SQRT($E$17^2-($AS$17-H9)^2),-4)</f>
        <v>-4</v>
      </c>
      <c r="H665" s="70"/>
      <c r="I665" s="70">
        <f t="shared" ref="I665:I672" si="506">IF($A$18,IF(J665&gt;J9,J9,J665),-4)</f>
        <v>-4</v>
      </c>
      <c r="J665" s="70">
        <f t="shared" ref="J665:J672" si="507">IFERROR($AR$17+SQRT($E$17^2-($AS$17-K9)^2),-4)</f>
        <v>-4</v>
      </c>
      <c r="K665" s="70"/>
      <c r="L665" s="70">
        <f t="shared" ref="L665:L672" si="508">IF($A$18,IF(M665&gt;M9,M9,M665),-4)</f>
        <v>-4</v>
      </c>
      <c r="M665" s="70">
        <f t="shared" ref="M665:M672" si="509">IFERROR($AR$17+SQRT($E$17^2-($AS$17-N9)^2),-4)</f>
        <v>-4</v>
      </c>
      <c r="N665" s="70"/>
      <c r="O665" s="70">
        <f t="shared" ref="O665:O672" si="510">IF($A$18,IF(P665&gt;P9,P9,P665),-4)</f>
        <v>-4</v>
      </c>
      <c r="P665" s="70">
        <f t="shared" ref="P665:P672" si="511">IFERROR($AR$17+SQRT($E$17^2-($AS$17-Q9)^2),-4)</f>
        <v>-4</v>
      </c>
      <c r="Q665" s="70"/>
      <c r="R665" s="70">
        <f t="shared" ref="R665:R672" si="512">IF($A$18,IF(S665&gt;S9,S9,S665),-4)</f>
        <v>-4</v>
      </c>
      <c r="S665" s="70">
        <f t="shared" ref="S665:S672" si="513">IFERROR($AR$17+SQRT($E$17^2-($AS$17-T9)^2),-4)</f>
        <v>-4</v>
      </c>
      <c r="T665" s="70"/>
      <c r="U665" s="70">
        <f t="shared" ref="U665:U672" si="514">IF($A$18,IF(V665&gt;V9,V9,V665),-4)</f>
        <v>-4</v>
      </c>
      <c r="V665" s="70">
        <f t="shared" ref="V665:V672" si="515">IFERROR($AR$17+SQRT($E$17^2-($AS$17-W9)^2),-4)</f>
        <v>-4</v>
      </c>
      <c r="W665" s="70"/>
      <c r="X665" s="70">
        <f t="shared" ref="X665:X672" si="516">IF($A$18,IF(Y665&gt;Y9,Y9,Y665),-4)</f>
        <v>-4</v>
      </c>
      <c r="Y665" s="70">
        <f t="shared" ref="Y665:Y672" si="517">IFERROR($AR$17+SQRT($E$17^2-($AS$17-Z9)^2),-4)</f>
        <v>-4</v>
      </c>
      <c r="Z665" s="70"/>
      <c r="AA665" s="70">
        <f t="shared" ref="AA665:AA672" si="518">IF($A$18,IF(AB665&gt;AB9,AB9,AB665),-4)</f>
        <v>-4</v>
      </c>
      <c r="AB665" s="70">
        <f t="shared" ref="AB665:AB672" si="519">IFERROR($AR$17+SQRT($E$17^2-($AS$17-AC9)^2),-4)</f>
        <v>-4</v>
      </c>
      <c r="AC665" s="70"/>
    </row>
    <row r="666" spans="1:29" s="2" customFormat="1">
      <c r="A666" s="70"/>
      <c r="B666" s="70" t="s">
        <v>236</v>
      </c>
      <c r="C666" s="70">
        <f t="shared" si="502"/>
        <v>-4</v>
      </c>
      <c r="D666" s="70">
        <f t="shared" si="503"/>
        <v>-4</v>
      </c>
      <c r="E666" s="70"/>
      <c r="F666" s="70">
        <f t="shared" si="504"/>
        <v>-4</v>
      </c>
      <c r="G666" s="70">
        <f t="shared" si="505"/>
        <v>-4</v>
      </c>
      <c r="H666" s="70"/>
      <c r="I666" s="70">
        <f t="shared" si="506"/>
        <v>-4</v>
      </c>
      <c r="J666" s="70">
        <f t="shared" si="507"/>
        <v>-4</v>
      </c>
      <c r="K666" s="70"/>
      <c r="L666" s="70">
        <f t="shared" si="508"/>
        <v>-4</v>
      </c>
      <c r="M666" s="70">
        <f t="shared" si="509"/>
        <v>-4</v>
      </c>
      <c r="N666" s="70"/>
      <c r="O666" s="70">
        <f t="shared" si="510"/>
        <v>-4</v>
      </c>
      <c r="P666" s="70">
        <f t="shared" si="511"/>
        <v>-4</v>
      </c>
      <c r="Q666" s="70"/>
      <c r="R666" s="70">
        <f t="shared" si="512"/>
        <v>-4</v>
      </c>
      <c r="S666" s="70">
        <f t="shared" si="513"/>
        <v>-4</v>
      </c>
      <c r="T666" s="70"/>
      <c r="U666" s="70">
        <f t="shared" si="514"/>
        <v>-4</v>
      </c>
      <c r="V666" s="70">
        <f t="shared" si="515"/>
        <v>-4</v>
      </c>
      <c r="W666" s="70"/>
      <c r="X666" s="70">
        <f t="shared" si="516"/>
        <v>-4</v>
      </c>
      <c r="Y666" s="70">
        <f t="shared" si="517"/>
        <v>-4</v>
      </c>
      <c r="Z666" s="70"/>
      <c r="AA666" s="70">
        <f t="shared" si="518"/>
        <v>-4</v>
      </c>
      <c r="AB666" s="70">
        <f t="shared" si="519"/>
        <v>-4</v>
      </c>
      <c r="AC666" s="70"/>
    </row>
    <row r="667" spans="1:29" s="2" customFormat="1">
      <c r="A667" s="70"/>
      <c r="B667" s="70"/>
      <c r="C667" s="70">
        <f t="shared" si="502"/>
        <v>-4</v>
      </c>
      <c r="D667" s="70">
        <f t="shared" si="503"/>
        <v>-4</v>
      </c>
      <c r="E667" s="70"/>
      <c r="F667" s="70">
        <f t="shared" si="504"/>
        <v>-4</v>
      </c>
      <c r="G667" s="70">
        <f t="shared" si="505"/>
        <v>-4</v>
      </c>
      <c r="H667" s="70"/>
      <c r="I667" s="70">
        <f t="shared" si="506"/>
        <v>-4</v>
      </c>
      <c r="J667" s="70">
        <f t="shared" si="507"/>
        <v>-4</v>
      </c>
      <c r="K667" s="70"/>
      <c r="L667" s="70">
        <f t="shared" si="508"/>
        <v>-4</v>
      </c>
      <c r="M667" s="70">
        <f t="shared" si="509"/>
        <v>-4</v>
      </c>
      <c r="N667" s="70"/>
      <c r="O667" s="70">
        <f t="shared" si="510"/>
        <v>-4</v>
      </c>
      <c r="P667" s="70">
        <f t="shared" si="511"/>
        <v>-4</v>
      </c>
      <c r="Q667" s="70"/>
      <c r="R667" s="70">
        <f t="shared" si="512"/>
        <v>-4</v>
      </c>
      <c r="S667" s="70">
        <f t="shared" si="513"/>
        <v>-4</v>
      </c>
      <c r="T667" s="70"/>
      <c r="U667" s="70">
        <f t="shared" si="514"/>
        <v>-4</v>
      </c>
      <c r="V667" s="70">
        <f t="shared" si="515"/>
        <v>-4</v>
      </c>
      <c r="W667" s="70"/>
      <c r="X667" s="70">
        <f t="shared" si="516"/>
        <v>-4</v>
      </c>
      <c r="Y667" s="70">
        <f t="shared" si="517"/>
        <v>-4</v>
      </c>
      <c r="Z667" s="70"/>
      <c r="AA667" s="70">
        <f t="shared" si="518"/>
        <v>-4</v>
      </c>
      <c r="AB667" s="70">
        <f t="shared" si="519"/>
        <v>-4</v>
      </c>
      <c r="AC667" s="70"/>
    </row>
    <row r="668" spans="1:29" s="2" customFormat="1">
      <c r="A668" s="70"/>
      <c r="B668" s="70"/>
      <c r="C668" s="70">
        <f t="shared" si="502"/>
        <v>-4</v>
      </c>
      <c r="D668" s="70">
        <f t="shared" si="503"/>
        <v>-4</v>
      </c>
      <c r="E668" s="70"/>
      <c r="F668" s="70">
        <f t="shared" si="504"/>
        <v>-4</v>
      </c>
      <c r="G668" s="70">
        <f t="shared" si="505"/>
        <v>-4</v>
      </c>
      <c r="H668" s="70"/>
      <c r="I668" s="70">
        <f t="shared" si="506"/>
        <v>-4</v>
      </c>
      <c r="J668" s="70">
        <f t="shared" si="507"/>
        <v>-4</v>
      </c>
      <c r="K668" s="70"/>
      <c r="L668" s="70">
        <f t="shared" si="508"/>
        <v>-4</v>
      </c>
      <c r="M668" s="70">
        <f t="shared" si="509"/>
        <v>-4</v>
      </c>
      <c r="N668" s="70"/>
      <c r="O668" s="70">
        <f t="shared" si="510"/>
        <v>-4</v>
      </c>
      <c r="P668" s="70">
        <f t="shared" si="511"/>
        <v>-4</v>
      </c>
      <c r="Q668" s="70"/>
      <c r="R668" s="70">
        <f t="shared" si="512"/>
        <v>-4</v>
      </c>
      <c r="S668" s="70">
        <f t="shared" si="513"/>
        <v>-4</v>
      </c>
      <c r="T668" s="70"/>
      <c r="U668" s="70">
        <f t="shared" si="514"/>
        <v>-4</v>
      </c>
      <c r="V668" s="70">
        <f t="shared" si="515"/>
        <v>-4</v>
      </c>
      <c r="W668" s="70"/>
      <c r="X668" s="70">
        <f t="shared" si="516"/>
        <v>-4</v>
      </c>
      <c r="Y668" s="70">
        <f t="shared" si="517"/>
        <v>-4</v>
      </c>
      <c r="Z668" s="70"/>
      <c r="AA668" s="70">
        <f t="shared" si="518"/>
        <v>-4</v>
      </c>
      <c r="AB668" s="70">
        <f t="shared" si="519"/>
        <v>-4</v>
      </c>
      <c r="AC668" s="70"/>
    </row>
    <row r="669" spans="1:29" s="2" customFormat="1">
      <c r="A669" s="70"/>
      <c r="B669" s="70"/>
      <c r="C669" s="70">
        <f t="shared" si="502"/>
        <v>-4</v>
      </c>
      <c r="D669" s="70">
        <f t="shared" si="503"/>
        <v>-4</v>
      </c>
      <c r="E669" s="70"/>
      <c r="F669" s="70">
        <f t="shared" si="504"/>
        <v>-4</v>
      </c>
      <c r="G669" s="70">
        <f t="shared" si="505"/>
        <v>-4</v>
      </c>
      <c r="H669" s="70"/>
      <c r="I669" s="70">
        <f t="shared" si="506"/>
        <v>-4</v>
      </c>
      <c r="J669" s="70">
        <f t="shared" si="507"/>
        <v>-4</v>
      </c>
      <c r="K669" s="70"/>
      <c r="L669" s="70">
        <f t="shared" si="508"/>
        <v>-4</v>
      </c>
      <c r="M669" s="70">
        <f t="shared" si="509"/>
        <v>-4</v>
      </c>
      <c r="N669" s="70"/>
      <c r="O669" s="70">
        <f t="shared" si="510"/>
        <v>-4</v>
      </c>
      <c r="P669" s="70">
        <f t="shared" si="511"/>
        <v>-4</v>
      </c>
      <c r="Q669" s="70"/>
      <c r="R669" s="70">
        <f t="shared" si="512"/>
        <v>-4</v>
      </c>
      <c r="S669" s="70">
        <f t="shared" si="513"/>
        <v>-4</v>
      </c>
      <c r="T669" s="70"/>
      <c r="U669" s="70">
        <f t="shared" si="514"/>
        <v>-4</v>
      </c>
      <c r="V669" s="70">
        <f t="shared" si="515"/>
        <v>-4</v>
      </c>
      <c r="W669" s="70"/>
      <c r="X669" s="70">
        <f t="shared" si="516"/>
        <v>-4</v>
      </c>
      <c r="Y669" s="70">
        <f t="shared" si="517"/>
        <v>-4</v>
      </c>
      <c r="Z669" s="70"/>
      <c r="AA669" s="70">
        <f t="shared" si="518"/>
        <v>-4</v>
      </c>
      <c r="AB669" s="70">
        <f t="shared" si="519"/>
        <v>-4</v>
      </c>
      <c r="AC669" s="70"/>
    </row>
    <row r="670" spans="1:29" s="2" customFormat="1">
      <c r="A670" s="70"/>
      <c r="B670" s="70"/>
      <c r="C670" s="70">
        <f t="shared" si="502"/>
        <v>-4</v>
      </c>
      <c r="D670" s="70">
        <f t="shared" si="503"/>
        <v>-4</v>
      </c>
      <c r="E670" s="70"/>
      <c r="F670" s="70">
        <f t="shared" si="504"/>
        <v>-4</v>
      </c>
      <c r="G670" s="70">
        <f t="shared" si="505"/>
        <v>-4</v>
      </c>
      <c r="H670" s="70"/>
      <c r="I670" s="70">
        <f t="shared" si="506"/>
        <v>-4</v>
      </c>
      <c r="J670" s="70">
        <f t="shared" si="507"/>
        <v>-4</v>
      </c>
      <c r="K670" s="70"/>
      <c r="L670" s="70">
        <f t="shared" si="508"/>
        <v>-4</v>
      </c>
      <c r="M670" s="70">
        <f t="shared" si="509"/>
        <v>-4</v>
      </c>
      <c r="N670" s="70"/>
      <c r="O670" s="70">
        <f t="shared" si="510"/>
        <v>-4</v>
      </c>
      <c r="P670" s="70">
        <f t="shared" si="511"/>
        <v>-4</v>
      </c>
      <c r="Q670" s="70"/>
      <c r="R670" s="70">
        <f t="shared" si="512"/>
        <v>-4</v>
      </c>
      <c r="S670" s="70">
        <f t="shared" si="513"/>
        <v>-4</v>
      </c>
      <c r="T670" s="70"/>
      <c r="U670" s="70">
        <f t="shared" si="514"/>
        <v>-4</v>
      </c>
      <c r="V670" s="70">
        <f t="shared" si="515"/>
        <v>-4</v>
      </c>
      <c r="W670" s="70"/>
      <c r="X670" s="70">
        <f t="shared" si="516"/>
        <v>-4</v>
      </c>
      <c r="Y670" s="70">
        <f t="shared" si="517"/>
        <v>-4</v>
      </c>
      <c r="Z670" s="70"/>
      <c r="AA670" s="70">
        <f t="shared" si="518"/>
        <v>-4</v>
      </c>
      <c r="AB670" s="70">
        <f t="shared" si="519"/>
        <v>-4</v>
      </c>
      <c r="AC670" s="70"/>
    </row>
    <row r="671" spans="1:29" s="2" customFormat="1">
      <c r="A671" s="70"/>
      <c r="B671" s="70"/>
      <c r="C671" s="70">
        <f t="shared" si="502"/>
        <v>-4</v>
      </c>
      <c r="D671" s="70">
        <f t="shared" si="503"/>
        <v>-4</v>
      </c>
      <c r="E671" s="70"/>
      <c r="F671" s="70">
        <f t="shared" si="504"/>
        <v>-4</v>
      </c>
      <c r="G671" s="70">
        <f t="shared" si="505"/>
        <v>-4</v>
      </c>
      <c r="H671" s="70"/>
      <c r="I671" s="70">
        <f t="shared" si="506"/>
        <v>-4</v>
      </c>
      <c r="J671" s="70">
        <f t="shared" si="507"/>
        <v>-4</v>
      </c>
      <c r="K671" s="70"/>
      <c r="L671" s="70">
        <f t="shared" si="508"/>
        <v>-4</v>
      </c>
      <c r="M671" s="70">
        <f t="shared" si="509"/>
        <v>-4</v>
      </c>
      <c r="N671" s="70"/>
      <c r="O671" s="70">
        <f t="shared" si="510"/>
        <v>-4</v>
      </c>
      <c r="P671" s="70">
        <f t="shared" si="511"/>
        <v>-4</v>
      </c>
      <c r="Q671" s="70"/>
      <c r="R671" s="70">
        <f t="shared" si="512"/>
        <v>-4</v>
      </c>
      <c r="S671" s="70">
        <f t="shared" si="513"/>
        <v>-4</v>
      </c>
      <c r="T671" s="70"/>
      <c r="U671" s="70">
        <f t="shared" si="514"/>
        <v>-4</v>
      </c>
      <c r="V671" s="70">
        <f t="shared" si="515"/>
        <v>-4</v>
      </c>
      <c r="W671" s="70"/>
      <c r="X671" s="70">
        <f t="shared" si="516"/>
        <v>-4</v>
      </c>
      <c r="Y671" s="70">
        <f t="shared" si="517"/>
        <v>-4</v>
      </c>
      <c r="Z671" s="70"/>
      <c r="AA671" s="70">
        <f t="shared" si="518"/>
        <v>-4</v>
      </c>
      <c r="AB671" s="70">
        <f t="shared" si="519"/>
        <v>-4</v>
      </c>
      <c r="AC671" s="70"/>
    </row>
    <row r="672" spans="1:29" s="2" customFormat="1">
      <c r="A672" s="70"/>
      <c r="B672" s="70"/>
      <c r="C672" s="70">
        <f t="shared" si="502"/>
        <v>-4</v>
      </c>
      <c r="D672" s="70">
        <f t="shared" si="503"/>
        <v>-4</v>
      </c>
      <c r="E672" s="70"/>
      <c r="F672" s="70">
        <f t="shared" si="504"/>
        <v>-4</v>
      </c>
      <c r="G672" s="70">
        <f t="shared" si="505"/>
        <v>-4</v>
      </c>
      <c r="H672" s="70"/>
      <c r="I672" s="70">
        <f t="shared" si="506"/>
        <v>-4</v>
      </c>
      <c r="J672" s="70">
        <f t="shared" si="507"/>
        <v>-4</v>
      </c>
      <c r="K672" s="70"/>
      <c r="L672" s="70">
        <f t="shared" si="508"/>
        <v>-4</v>
      </c>
      <c r="M672" s="70">
        <f t="shared" si="509"/>
        <v>-4</v>
      </c>
      <c r="N672" s="70"/>
      <c r="O672" s="70">
        <f t="shared" si="510"/>
        <v>-4</v>
      </c>
      <c r="P672" s="70">
        <f t="shared" si="511"/>
        <v>-4</v>
      </c>
      <c r="Q672" s="70"/>
      <c r="R672" s="70">
        <f t="shared" si="512"/>
        <v>-4</v>
      </c>
      <c r="S672" s="70">
        <f t="shared" si="513"/>
        <v>-4</v>
      </c>
      <c r="T672" s="70"/>
      <c r="U672" s="70">
        <f t="shared" si="514"/>
        <v>-4</v>
      </c>
      <c r="V672" s="70">
        <f t="shared" si="515"/>
        <v>-4</v>
      </c>
      <c r="W672" s="70"/>
      <c r="X672" s="70">
        <f t="shared" si="516"/>
        <v>-4</v>
      </c>
      <c r="Y672" s="70">
        <f t="shared" si="517"/>
        <v>-4</v>
      </c>
      <c r="Z672" s="70"/>
      <c r="AA672" s="70">
        <f t="shared" si="518"/>
        <v>-4</v>
      </c>
      <c r="AB672" s="70">
        <f t="shared" si="519"/>
        <v>-4</v>
      </c>
      <c r="AC672" s="70"/>
    </row>
    <row r="673" spans="1:29" s="2" customFormat="1">
      <c r="A673" s="70"/>
      <c r="B673" s="70"/>
      <c r="C673" s="70">
        <f t="shared" ref="C673:C680" si="520">IF($A$18,IF(D673&gt;D9,D9,D673),-4)</f>
        <v>-4</v>
      </c>
      <c r="D673" s="70">
        <f t="shared" ref="D673:D680" si="521">IFERROR($AR$18+SQRT($E$17^2-($AS$18-E9)^2),-4)</f>
        <v>-4</v>
      </c>
      <c r="E673" s="70"/>
      <c r="F673" s="70">
        <f t="shared" ref="F673:F680" si="522">IF($A$18,IF(G673&gt;G9,G9,G673),-4)</f>
        <v>-4</v>
      </c>
      <c r="G673" s="70">
        <f t="shared" ref="G673:G680" si="523">IFERROR($AR$18+SQRT($E$17^2-($AS$18-H9)^2),-4)</f>
        <v>-4</v>
      </c>
      <c r="H673" s="70"/>
      <c r="I673" s="70">
        <f t="shared" ref="I673:I680" si="524">IF($A$18,IF(J673&gt;J9,J9,J673),-4)</f>
        <v>-4</v>
      </c>
      <c r="J673" s="70">
        <f t="shared" ref="J673:J680" si="525">IFERROR($AR$18+SQRT($E$17^2-($AS$18-K9)^2),-4)</f>
        <v>-4</v>
      </c>
      <c r="K673" s="70"/>
      <c r="L673" s="70">
        <f t="shared" ref="L673:L680" si="526">IF($A$18,IF(M673&gt;M9,M9,M673),-4)</f>
        <v>-4</v>
      </c>
      <c r="M673" s="70">
        <f t="shared" ref="M673:M680" si="527">IFERROR($AR$18+SQRT($E$17^2-($AS$18-N9)^2),-4)</f>
        <v>-4</v>
      </c>
      <c r="N673" s="70"/>
      <c r="O673" s="70">
        <f t="shared" ref="O673:O680" si="528">IF($A$18,IF(P673&gt;P9,P9,P673),-4)</f>
        <v>-4</v>
      </c>
      <c r="P673" s="70">
        <f t="shared" ref="P673:P680" si="529">IFERROR($AR$18+SQRT($E$17^2-($AS$18-Q9)^2),-4)</f>
        <v>-4</v>
      </c>
      <c r="Q673" s="70"/>
      <c r="R673" s="70">
        <f t="shared" ref="R673:R680" si="530">IF($A$18,IF(S673&gt;S9,S9,S673),-4)</f>
        <v>-4</v>
      </c>
      <c r="S673" s="70">
        <f t="shared" ref="S673:S680" si="531">IFERROR($AR$18+SQRT($E$17^2-($AS$18-T9)^2),-4)</f>
        <v>-4</v>
      </c>
      <c r="T673" s="70"/>
      <c r="U673" s="70">
        <f t="shared" ref="U673:U680" si="532">IF($A$18,IF(V673&gt;V9,V9,V673),-4)</f>
        <v>-4</v>
      </c>
      <c r="V673" s="70">
        <f t="shared" ref="V673:V680" si="533">IFERROR($AR$18+SQRT($E$17^2-($AS$18-W9)^2),-4)</f>
        <v>-4</v>
      </c>
      <c r="W673" s="70"/>
      <c r="X673" s="70">
        <f t="shared" ref="X673:X680" si="534">IF($A$18,IF(Y673&gt;Y9,Y9,Y673),-4)</f>
        <v>-4</v>
      </c>
      <c r="Y673" s="70">
        <f t="shared" ref="Y673:Y680" si="535">IFERROR($AR$18+SQRT($E$17^2-($AS$18-Z9)^2),-4)</f>
        <v>-4</v>
      </c>
      <c r="Z673" s="70"/>
      <c r="AA673" s="70">
        <f t="shared" ref="AA673:AA680" si="536">IF($A$18,IF(AB673&gt;AB9,AB9,AB673),-4)</f>
        <v>-4</v>
      </c>
      <c r="AB673" s="70">
        <f t="shared" ref="AB673:AB680" si="537">IFERROR($AR$18+SQRT($E$17^2-($AS$18-AC9)^2),-4)</f>
        <v>-4</v>
      </c>
      <c r="AC673" s="70"/>
    </row>
    <row r="674" spans="1:29" s="2" customFormat="1">
      <c r="A674" s="70"/>
      <c r="B674" s="70" t="s">
        <v>237</v>
      </c>
      <c r="C674" s="70">
        <f t="shared" si="520"/>
        <v>-4</v>
      </c>
      <c r="D674" s="70">
        <f t="shared" si="521"/>
        <v>-4</v>
      </c>
      <c r="E674" s="70"/>
      <c r="F674" s="70">
        <f t="shared" si="522"/>
        <v>-4</v>
      </c>
      <c r="G674" s="70">
        <f t="shared" si="523"/>
        <v>-4</v>
      </c>
      <c r="H674" s="70"/>
      <c r="I674" s="70">
        <f t="shared" si="524"/>
        <v>-4</v>
      </c>
      <c r="J674" s="70">
        <f t="shared" si="525"/>
        <v>-4</v>
      </c>
      <c r="K674" s="70"/>
      <c r="L674" s="70">
        <f t="shared" si="526"/>
        <v>-4</v>
      </c>
      <c r="M674" s="70">
        <f t="shared" si="527"/>
        <v>-4</v>
      </c>
      <c r="N674" s="70"/>
      <c r="O674" s="70">
        <f t="shared" si="528"/>
        <v>-4</v>
      </c>
      <c r="P674" s="70">
        <f t="shared" si="529"/>
        <v>-4</v>
      </c>
      <c r="Q674" s="70"/>
      <c r="R674" s="70">
        <f t="shared" si="530"/>
        <v>-4</v>
      </c>
      <c r="S674" s="70">
        <f t="shared" si="531"/>
        <v>-4</v>
      </c>
      <c r="T674" s="70"/>
      <c r="U674" s="70">
        <f t="shared" si="532"/>
        <v>-4</v>
      </c>
      <c r="V674" s="70">
        <f t="shared" si="533"/>
        <v>-4</v>
      </c>
      <c r="W674" s="70"/>
      <c r="X674" s="70">
        <f t="shared" si="534"/>
        <v>-4</v>
      </c>
      <c r="Y674" s="70">
        <f t="shared" si="535"/>
        <v>-4</v>
      </c>
      <c r="Z674" s="70"/>
      <c r="AA674" s="70">
        <f t="shared" si="536"/>
        <v>-4</v>
      </c>
      <c r="AB674" s="70">
        <f t="shared" si="537"/>
        <v>-4</v>
      </c>
      <c r="AC674" s="70"/>
    </row>
    <row r="675" spans="1:29" s="2" customFormat="1">
      <c r="A675" s="70"/>
      <c r="B675" s="70"/>
      <c r="C675" s="70">
        <f t="shared" si="520"/>
        <v>-4</v>
      </c>
      <c r="D675" s="70">
        <f t="shared" si="521"/>
        <v>-4</v>
      </c>
      <c r="E675" s="70"/>
      <c r="F675" s="70">
        <f t="shared" si="522"/>
        <v>-4</v>
      </c>
      <c r="G675" s="70">
        <f t="shared" si="523"/>
        <v>-4</v>
      </c>
      <c r="H675" s="70"/>
      <c r="I675" s="70">
        <f t="shared" si="524"/>
        <v>-4</v>
      </c>
      <c r="J675" s="70">
        <f t="shared" si="525"/>
        <v>-4</v>
      </c>
      <c r="K675" s="70"/>
      <c r="L675" s="70">
        <f t="shared" si="526"/>
        <v>-4</v>
      </c>
      <c r="M675" s="70">
        <f t="shared" si="527"/>
        <v>-4</v>
      </c>
      <c r="N675" s="70"/>
      <c r="O675" s="70">
        <f t="shared" si="528"/>
        <v>-4</v>
      </c>
      <c r="P675" s="70">
        <f t="shared" si="529"/>
        <v>-4</v>
      </c>
      <c r="Q675" s="70"/>
      <c r="R675" s="70">
        <f t="shared" si="530"/>
        <v>-4</v>
      </c>
      <c r="S675" s="70">
        <f t="shared" si="531"/>
        <v>-4</v>
      </c>
      <c r="T675" s="70"/>
      <c r="U675" s="70">
        <f t="shared" si="532"/>
        <v>-4</v>
      </c>
      <c r="V675" s="70">
        <f t="shared" si="533"/>
        <v>-4</v>
      </c>
      <c r="W675" s="70"/>
      <c r="X675" s="70">
        <f t="shared" si="534"/>
        <v>-4</v>
      </c>
      <c r="Y675" s="70">
        <f t="shared" si="535"/>
        <v>-4</v>
      </c>
      <c r="Z675" s="70"/>
      <c r="AA675" s="70">
        <f t="shared" si="536"/>
        <v>-4</v>
      </c>
      <c r="AB675" s="70">
        <f t="shared" si="537"/>
        <v>-4</v>
      </c>
      <c r="AC675" s="70"/>
    </row>
    <row r="676" spans="1:29" s="2" customFormat="1">
      <c r="A676" s="70"/>
      <c r="B676" s="70"/>
      <c r="C676" s="70">
        <f t="shared" si="520"/>
        <v>-4</v>
      </c>
      <c r="D676" s="70">
        <f t="shared" si="521"/>
        <v>-4</v>
      </c>
      <c r="E676" s="70"/>
      <c r="F676" s="70">
        <f t="shared" si="522"/>
        <v>-4</v>
      </c>
      <c r="G676" s="70">
        <f t="shared" si="523"/>
        <v>-4</v>
      </c>
      <c r="H676" s="70"/>
      <c r="I676" s="70">
        <f t="shared" si="524"/>
        <v>-4</v>
      </c>
      <c r="J676" s="70">
        <f t="shared" si="525"/>
        <v>-4</v>
      </c>
      <c r="K676" s="70"/>
      <c r="L676" s="70">
        <f t="shared" si="526"/>
        <v>-4</v>
      </c>
      <c r="M676" s="70">
        <f t="shared" si="527"/>
        <v>-4</v>
      </c>
      <c r="N676" s="70"/>
      <c r="O676" s="70">
        <f t="shared" si="528"/>
        <v>-4</v>
      </c>
      <c r="P676" s="70">
        <f t="shared" si="529"/>
        <v>-4</v>
      </c>
      <c r="Q676" s="70"/>
      <c r="R676" s="70">
        <f t="shared" si="530"/>
        <v>-4</v>
      </c>
      <c r="S676" s="70">
        <f t="shared" si="531"/>
        <v>-4</v>
      </c>
      <c r="T676" s="70"/>
      <c r="U676" s="70">
        <f t="shared" si="532"/>
        <v>-4</v>
      </c>
      <c r="V676" s="70">
        <f t="shared" si="533"/>
        <v>-4</v>
      </c>
      <c r="W676" s="70"/>
      <c r="X676" s="70">
        <f t="shared" si="534"/>
        <v>-4</v>
      </c>
      <c r="Y676" s="70">
        <f t="shared" si="535"/>
        <v>-4</v>
      </c>
      <c r="Z676" s="70"/>
      <c r="AA676" s="70">
        <f t="shared" si="536"/>
        <v>-4</v>
      </c>
      <c r="AB676" s="70">
        <f t="shared" si="537"/>
        <v>-4</v>
      </c>
      <c r="AC676" s="70"/>
    </row>
    <row r="677" spans="1:29" s="2" customFormat="1">
      <c r="A677" s="70"/>
      <c r="B677" s="70"/>
      <c r="C677" s="70">
        <f t="shared" si="520"/>
        <v>-4</v>
      </c>
      <c r="D677" s="70">
        <f t="shared" si="521"/>
        <v>-4</v>
      </c>
      <c r="E677" s="70"/>
      <c r="F677" s="70">
        <f t="shared" si="522"/>
        <v>-4</v>
      </c>
      <c r="G677" s="70">
        <f t="shared" si="523"/>
        <v>-4</v>
      </c>
      <c r="H677" s="70"/>
      <c r="I677" s="70">
        <f t="shared" si="524"/>
        <v>-4</v>
      </c>
      <c r="J677" s="70">
        <f t="shared" si="525"/>
        <v>-4</v>
      </c>
      <c r="K677" s="70"/>
      <c r="L677" s="70">
        <f t="shared" si="526"/>
        <v>-4</v>
      </c>
      <c r="M677" s="70">
        <f t="shared" si="527"/>
        <v>-4</v>
      </c>
      <c r="N677" s="70"/>
      <c r="O677" s="70">
        <f t="shared" si="528"/>
        <v>-4</v>
      </c>
      <c r="P677" s="70">
        <f t="shared" si="529"/>
        <v>-4</v>
      </c>
      <c r="Q677" s="70"/>
      <c r="R677" s="70">
        <f t="shared" si="530"/>
        <v>-4</v>
      </c>
      <c r="S677" s="70">
        <f t="shared" si="531"/>
        <v>-4</v>
      </c>
      <c r="T677" s="70"/>
      <c r="U677" s="70">
        <f t="shared" si="532"/>
        <v>-4</v>
      </c>
      <c r="V677" s="70">
        <f t="shared" si="533"/>
        <v>-4</v>
      </c>
      <c r="W677" s="70"/>
      <c r="X677" s="70">
        <f t="shared" si="534"/>
        <v>-4</v>
      </c>
      <c r="Y677" s="70">
        <f t="shared" si="535"/>
        <v>-4</v>
      </c>
      <c r="Z677" s="70"/>
      <c r="AA677" s="70">
        <f t="shared" si="536"/>
        <v>-4</v>
      </c>
      <c r="AB677" s="70">
        <f t="shared" si="537"/>
        <v>-4</v>
      </c>
      <c r="AC677" s="70"/>
    </row>
    <row r="678" spans="1:29" s="2" customFormat="1">
      <c r="A678" s="70"/>
      <c r="B678" s="70"/>
      <c r="C678" s="70">
        <f t="shared" si="520"/>
        <v>-4</v>
      </c>
      <c r="D678" s="70">
        <f t="shared" si="521"/>
        <v>-4</v>
      </c>
      <c r="E678" s="70"/>
      <c r="F678" s="70">
        <f t="shared" si="522"/>
        <v>-4</v>
      </c>
      <c r="G678" s="70">
        <f t="shared" si="523"/>
        <v>-4</v>
      </c>
      <c r="H678" s="70"/>
      <c r="I678" s="70">
        <f t="shared" si="524"/>
        <v>-4</v>
      </c>
      <c r="J678" s="70">
        <f t="shared" si="525"/>
        <v>-4</v>
      </c>
      <c r="K678" s="70"/>
      <c r="L678" s="70">
        <f t="shared" si="526"/>
        <v>-4</v>
      </c>
      <c r="M678" s="70">
        <f t="shared" si="527"/>
        <v>-4</v>
      </c>
      <c r="N678" s="70"/>
      <c r="O678" s="70">
        <f t="shared" si="528"/>
        <v>-4</v>
      </c>
      <c r="P678" s="70">
        <f t="shared" si="529"/>
        <v>-4</v>
      </c>
      <c r="Q678" s="70"/>
      <c r="R678" s="70">
        <f t="shared" si="530"/>
        <v>-4</v>
      </c>
      <c r="S678" s="70">
        <f t="shared" si="531"/>
        <v>-4</v>
      </c>
      <c r="T678" s="70"/>
      <c r="U678" s="70">
        <f t="shared" si="532"/>
        <v>-4</v>
      </c>
      <c r="V678" s="70">
        <f t="shared" si="533"/>
        <v>-4</v>
      </c>
      <c r="W678" s="70"/>
      <c r="X678" s="70">
        <f t="shared" si="534"/>
        <v>-4</v>
      </c>
      <c r="Y678" s="70">
        <f t="shared" si="535"/>
        <v>-4</v>
      </c>
      <c r="Z678" s="70"/>
      <c r="AA678" s="70">
        <f t="shared" si="536"/>
        <v>-4</v>
      </c>
      <c r="AB678" s="70">
        <f t="shared" si="537"/>
        <v>-4</v>
      </c>
      <c r="AC678" s="70"/>
    </row>
    <row r="679" spans="1:29" s="2" customFormat="1">
      <c r="A679" s="70"/>
      <c r="B679" s="70"/>
      <c r="C679" s="70">
        <f t="shared" si="520"/>
        <v>-4</v>
      </c>
      <c r="D679" s="70">
        <f t="shared" si="521"/>
        <v>-4</v>
      </c>
      <c r="E679" s="70"/>
      <c r="F679" s="70">
        <f t="shared" si="522"/>
        <v>-4</v>
      </c>
      <c r="G679" s="70">
        <f t="shared" si="523"/>
        <v>-4</v>
      </c>
      <c r="H679" s="70"/>
      <c r="I679" s="70">
        <f t="shared" si="524"/>
        <v>-4</v>
      </c>
      <c r="J679" s="70">
        <f t="shared" si="525"/>
        <v>-4</v>
      </c>
      <c r="K679" s="70"/>
      <c r="L679" s="70">
        <f t="shared" si="526"/>
        <v>-4</v>
      </c>
      <c r="M679" s="70">
        <f t="shared" si="527"/>
        <v>-4</v>
      </c>
      <c r="N679" s="70"/>
      <c r="O679" s="70">
        <f t="shared" si="528"/>
        <v>-4</v>
      </c>
      <c r="P679" s="70">
        <f t="shared" si="529"/>
        <v>-4</v>
      </c>
      <c r="Q679" s="70"/>
      <c r="R679" s="70">
        <f t="shared" si="530"/>
        <v>-4</v>
      </c>
      <c r="S679" s="70">
        <f t="shared" si="531"/>
        <v>-4</v>
      </c>
      <c r="T679" s="70"/>
      <c r="U679" s="70">
        <f t="shared" si="532"/>
        <v>-4</v>
      </c>
      <c r="V679" s="70">
        <f t="shared" si="533"/>
        <v>-4</v>
      </c>
      <c r="W679" s="70"/>
      <c r="X679" s="70">
        <f t="shared" si="534"/>
        <v>-4</v>
      </c>
      <c r="Y679" s="70">
        <f t="shared" si="535"/>
        <v>-4</v>
      </c>
      <c r="Z679" s="70"/>
      <c r="AA679" s="70">
        <f t="shared" si="536"/>
        <v>-4</v>
      </c>
      <c r="AB679" s="70">
        <f t="shared" si="537"/>
        <v>-4</v>
      </c>
      <c r="AC679" s="70"/>
    </row>
    <row r="680" spans="1:29" s="2" customFormat="1">
      <c r="A680" s="70"/>
      <c r="B680" s="70"/>
      <c r="C680" s="70">
        <f t="shared" si="520"/>
        <v>-4</v>
      </c>
      <c r="D680" s="70">
        <f t="shared" si="521"/>
        <v>-4</v>
      </c>
      <c r="E680" s="70"/>
      <c r="F680" s="70">
        <f t="shared" si="522"/>
        <v>-4</v>
      </c>
      <c r="G680" s="70">
        <f t="shared" si="523"/>
        <v>-4</v>
      </c>
      <c r="H680" s="70"/>
      <c r="I680" s="70">
        <f t="shared" si="524"/>
        <v>-4</v>
      </c>
      <c r="J680" s="70">
        <f t="shared" si="525"/>
        <v>-4</v>
      </c>
      <c r="K680" s="70"/>
      <c r="L680" s="70">
        <f t="shared" si="526"/>
        <v>-4</v>
      </c>
      <c r="M680" s="70">
        <f t="shared" si="527"/>
        <v>-4</v>
      </c>
      <c r="N680" s="70"/>
      <c r="O680" s="70">
        <f t="shared" si="528"/>
        <v>-4</v>
      </c>
      <c r="P680" s="70">
        <f t="shared" si="529"/>
        <v>-4</v>
      </c>
      <c r="Q680" s="70"/>
      <c r="R680" s="70">
        <f t="shared" si="530"/>
        <v>-4</v>
      </c>
      <c r="S680" s="70">
        <f t="shared" si="531"/>
        <v>-4</v>
      </c>
      <c r="T680" s="70"/>
      <c r="U680" s="70">
        <f t="shared" si="532"/>
        <v>-4</v>
      </c>
      <c r="V680" s="70">
        <f t="shared" si="533"/>
        <v>-4</v>
      </c>
      <c r="W680" s="70"/>
      <c r="X680" s="70">
        <f t="shared" si="534"/>
        <v>-4</v>
      </c>
      <c r="Y680" s="70">
        <f t="shared" si="535"/>
        <v>-4</v>
      </c>
      <c r="Z680" s="70"/>
      <c r="AA680" s="70">
        <f t="shared" si="536"/>
        <v>-4</v>
      </c>
      <c r="AB680" s="70">
        <f t="shared" si="537"/>
        <v>-4</v>
      </c>
      <c r="AC680" s="70"/>
    </row>
    <row r="681" spans="1:29" s="2" customFormat="1">
      <c r="A681" s="70"/>
      <c r="B681" s="70" t="s">
        <v>238</v>
      </c>
      <c r="C681" s="70" t="e">
        <f>IF(D9=0,NA(),IF($A$19+1&gt;D9,TRUE,FALSE))</f>
        <v>#N/A</v>
      </c>
      <c r="D681" s="70">
        <f>INT($B$2/120)</f>
        <v>0</v>
      </c>
      <c r="E681" s="70">
        <v>60</v>
      </c>
      <c r="F681" s="70" t="e">
        <f>IF(G9=0,NA(),IF($A$19+1&gt;G9,TRUE,FALSE))</f>
        <v>#N/A</v>
      </c>
      <c r="G681" s="70">
        <f>IF(MOD($B$2,4)=0,INT($B$2/4),FALSE)</f>
        <v>0</v>
      </c>
      <c r="H681" s="70">
        <v>60</v>
      </c>
      <c r="I681" s="70" t="e">
        <f>IF(J9=0,NA(),IF($A$19+1&gt;J9,TRUE,FALSE))</f>
        <v>#N/A</v>
      </c>
      <c r="J681" s="70">
        <f>IF(MOD($B$2,4)=0,INT($B$2/4),FALSE)</f>
        <v>0</v>
      </c>
      <c r="K681" s="70">
        <v>60</v>
      </c>
      <c r="L681" s="70" t="e">
        <f>IF(M9=0,NA(),IF($A$19+1&gt;M9,TRUE,FALSE))</f>
        <v>#N/A</v>
      </c>
      <c r="M681" s="70">
        <f>IF(MOD($B$2,4)=0,INT($B$2/4),FALSE)</f>
        <v>0</v>
      </c>
      <c r="N681" s="70">
        <v>60</v>
      </c>
      <c r="O681" s="70" t="e">
        <f>IF(P9=0,NA(),IF($A$19+1&gt;P9,TRUE,FALSE))</f>
        <v>#N/A</v>
      </c>
      <c r="P681" s="70">
        <f>IF(MOD($B$2,4)=0,INT($B$2/4),FALSE)</f>
        <v>0</v>
      </c>
      <c r="Q681" s="70">
        <v>60</v>
      </c>
      <c r="R681" s="70" t="e">
        <f>IF(S9=0,NA(),IF($A$19+1&gt;S9,TRUE,FALSE))</f>
        <v>#N/A</v>
      </c>
      <c r="S681" s="70">
        <f>IF(MOD($B$2,4)=0,INT($B$2/4),FALSE)</f>
        <v>0</v>
      </c>
      <c r="T681" s="70">
        <v>60</v>
      </c>
      <c r="U681" s="70" t="e">
        <f>IF(V9=0,NA(),IF($A$19+1&gt;V9,TRUE,FALSE))</f>
        <v>#N/A</v>
      </c>
      <c r="V681" s="70">
        <f>IF(MOD($B$2,4)=0,INT($B$2/4),FALSE)</f>
        <v>0</v>
      </c>
      <c r="W681" s="70">
        <v>60</v>
      </c>
      <c r="X681" s="70" t="e">
        <f>IF(Y9=0,NA(),IF($A$19+1&gt;Y9,TRUE,FALSE))</f>
        <v>#N/A</v>
      </c>
      <c r="Y681" s="70">
        <f>IF(MOD($B$2,4)=0,INT($B$2/4),FALSE)</f>
        <v>0</v>
      </c>
      <c r="Z681" s="70">
        <v>60</v>
      </c>
      <c r="AA681" s="70" t="e">
        <f>IF(AB9=0,NA(),IF($A$19+1&gt;AB9,TRUE,FALSE))</f>
        <v>#N/A</v>
      </c>
      <c r="AB681" s="70">
        <f>IF(MOD($B$2,4)=0,INT($B$2/4),FALSE)</f>
        <v>0</v>
      </c>
      <c r="AC681" s="70">
        <v>60</v>
      </c>
    </row>
    <row r="682" spans="1:29" s="2" customFormat="1">
      <c r="A682" s="70"/>
      <c r="B682" s="70"/>
      <c r="C682" s="70" t="e">
        <f t="shared" ref="C682:C688" si="538">IF(D10=0,NA(),IF($A$19+1&gt;D10,TRUE,FALSE))</f>
        <v>#N/A</v>
      </c>
      <c r="D682" s="70">
        <f t="shared" ref="D682:D688" si="539">INT($B$2/120)</f>
        <v>0</v>
      </c>
      <c r="E682" s="70">
        <v>60</v>
      </c>
      <c r="F682" s="70" t="e">
        <f t="shared" ref="F682:F688" si="540">IF(G10=0,NA(),IF($A$19+1&gt;G10,TRUE,FALSE))</f>
        <v>#N/A</v>
      </c>
      <c r="G682" s="70">
        <f t="shared" ref="G682:G688" si="541">IF(MOD($B$2,4)=0,INT($B$2/4),FALSE)</f>
        <v>0</v>
      </c>
      <c r="H682" s="70">
        <v>60</v>
      </c>
      <c r="I682" s="70" t="e">
        <f t="shared" ref="I682:I688" si="542">IF(J10=0,NA(),IF($A$19+1&gt;J10,TRUE,FALSE))</f>
        <v>#N/A</v>
      </c>
      <c r="J682" s="70">
        <f t="shared" ref="J682:J688" si="543">IF(MOD($B$2,4)=0,INT($B$2/4),FALSE)</f>
        <v>0</v>
      </c>
      <c r="K682" s="70">
        <v>60</v>
      </c>
      <c r="L682" s="70" t="e">
        <f t="shared" ref="L682:L688" si="544">IF(M10=0,NA(),IF($A$19+1&gt;M10,TRUE,FALSE))</f>
        <v>#N/A</v>
      </c>
      <c r="M682" s="70">
        <f t="shared" ref="M682:M688" si="545">IF(MOD($B$2,4)=0,INT($B$2/4),FALSE)</f>
        <v>0</v>
      </c>
      <c r="N682" s="70">
        <v>60</v>
      </c>
      <c r="O682" s="70" t="e">
        <f t="shared" ref="O682:O688" si="546">IF(P10=0,NA(),IF($A$19+1&gt;P10,TRUE,FALSE))</f>
        <v>#N/A</v>
      </c>
      <c r="P682" s="70">
        <f t="shared" ref="P682:P688" si="547">IF(MOD($B$2,4)=0,INT($B$2/4),FALSE)</f>
        <v>0</v>
      </c>
      <c r="Q682" s="70">
        <v>60</v>
      </c>
      <c r="R682" s="70" t="e">
        <f t="shared" ref="R682:R688" si="548">IF(S10=0,NA(),IF($A$19+1&gt;S10,TRUE,FALSE))</f>
        <v>#N/A</v>
      </c>
      <c r="S682" s="70">
        <f t="shared" ref="S682:S688" si="549">IF(MOD($B$2,4)=0,INT($B$2/4),FALSE)</f>
        <v>0</v>
      </c>
      <c r="T682" s="70">
        <v>60</v>
      </c>
      <c r="U682" s="70" t="e">
        <f t="shared" ref="U682:U688" si="550">IF(V10=0,NA(),IF($A$19+1&gt;V10,TRUE,FALSE))</f>
        <v>#N/A</v>
      </c>
      <c r="V682" s="70">
        <f t="shared" ref="V682:V688" si="551">IF(MOD($B$2,4)=0,INT($B$2/4),FALSE)</f>
        <v>0</v>
      </c>
      <c r="W682" s="70">
        <v>60</v>
      </c>
      <c r="X682" s="70" t="e">
        <f t="shared" ref="X682:X688" si="552">IF(Y10=0,NA(),IF($A$19+1&gt;Y10,TRUE,FALSE))</f>
        <v>#N/A</v>
      </c>
      <c r="Y682" s="70">
        <f t="shared" ref="Y682:Y688" si="553">IF(MOD($B$2,4)=0,INT($B$2/4),FALSE)</f>
        <v>0</v>
      </c>
      <c r="Z682" s="70">
        <v>60</v>
      </c>
      <c r="AA682" s="70" t="e">
        <f t="shared" ref="AA682:AA688" si="554">IF(AB10=0,NA(),IF($A$19+1&gt;AB10,TRUE,FALSE))</f>
        <v>#N/A</v>
      </c>
      <c r="AB682" s="70">
        <f t="shared" ref="AB682:AB688" si="555">IF(MOD($B$2,4)=0,INT($B$2/4),FALSE)</f>
        <v>0</v>
      </c>
      <c r="AC682" s="70">
        <v>60</v>
      </c>
    </row>
    <row r="683" spans="1:29" s="2" customFormat="1">
      <c r="A683" s="70"/>
      <c r="B683" s="70"/>
      <c r="C683" s="70" t="e">
        <f t="shared" si="538"/>
        <v>#N/A</v>
      </c>
      <c r="D683" s="70">
        <f t="shared" si="539"/>
        <v>0</v>
      </c>
      <c r="E683" s="70">
        <v>60</v>
      </c>
      <c r="F683" s="70" t="e">
        <f t="shared" si="540"/>
        <v>#N/A</v>
      </c>
      <c r="G683" s="70">
        <f t="shared" si="541"/>
        <v>0</v>
      </c>
      <c r="H683" s="70">
        <v>60</v>
      </c>
      <c r="I683" s="70" t="e">
        <f t="shared" si="542"/>
        <v>#N/A</v>
      </c>
      <c r="J683" s="70">
        <f t="shared" si="543"/>
        <v>0</v>
      </c>
      <c r="K683" s="70">
        <v>60</v>
      </c>
      <c r="L683" s="70" t="e">
        <f t="shared" si="544"/>
        <v>#N/A</v>
      </c>
      <c r="M683" s="70">
        <f t="shared" si="545"/>
        <v>0</v>
      </c>
      <c r="N683" s="70">
        <v>60</v>
      </c>
      <c r="O683" s="70" t="e">
        <f t="shared" si="546"/>
        <v>#N/A</v>
      </c>
      <c r="P683" s="70">
        <f t="shared" si="547"/>
        <v>0</v>
      </c>
      <c r="Q683" s="70">
        <v>60</v>
      </c>
      <c r="R683" s="70" t="e">
        <f t="shared" si="548"/>
        <v>#N/A</v>
      </c>
      <c r="S683" s="70">
        <f t="shared" si="549"/>
        <v>0</v>
      </c>
      <c r="T683" s="70">
        <v>60</v>
      </c>
      <c r="U683" s="70" t="e">
        <f t="shared" si="550"/>
        <v>#N/A</v>
      </c>
      <c r="V683" s="70">
        <f t="shared" si="551"/>
        <v>0</v>
      </c>
      <c r="W683" s="70">
        <v>60</v>
      </c>
      <c r="X683" s="70" t="e">
        <f t="shared" si="552"/>
        <v>#N/A</v>
      </c>
      <c r="Y683" s="70">
        <f t="shared" si="553"/>
        <v>0</v>
      </c>
      <c r="Z683" s="70">
        <v>60</v>
      </c>
      <c r="AA683" s="70" t="e">
        <f t="shared" si="554"/>
        <v>#N/A</v>
      </c>
      <c r="AB683" s="70">
        <f t="shared" si="555"/>
        <v>0</v>
      </c>
      <c r="AC683" s="70">
        <v>60</v>
      </c>
    </row>
    <row r="684" spans="1:29" s="2" customFormat="1">
      <c r="A684" s="70"/>
      <c r="B684" s="70"/>
      <c r="C684" s="70" t="e">
        <f t="shared" si="538"/>
        <v>#N/A</v>
      </c>
      <c r="D684" s="70">
        <f t="shared" si="539"/>
        <v>0</v>
      </c>
      <c r="E684" s="70">
        <v>60</v>
      </c>
      <c r="F684" s="70" t="e">
        <f t="shared" si="540"/>
        <v>#N/A</v>
      </c>
      <c r="G684" s="70">
        <f t="shared" si="541"/>
        <v>0</v>
      </c>
      <c r="H684" s="70">
        <v>60</v>
      </c>
      <c r="I684" s="70" t="e">
        <f t="shared" si="542"/>
        <v>#N/A</v>
      </c>
      <c r="J684" s="70">
        <f t="shared" si="543"/>
        <v>0</v>
      </c>
      <c r="K684" s="70">
        <v>60</v>
      </c>
      <c r="L684" s="70" t="e">
        <f t="shared" si="544"/>
        <v>#N/A</v>
      </c>
      <c r="M684" s="70">
        <f t="shared" si="545"/>
        <v>0</v>
      </c>
      <c r="N684" s="70">
        <v>60</v>
      </c>
      <c r="O684" s="70" t="e">
        <f t="shared" si="546"/>
        <v>#N/A</v>
      </c>
      <c r="P684" s="70">
        <f t="shared" si="547"/>
        <v>0</v>
      </c>
      <c r="Q684" s="70">
        <v>60</v>
      </c>
      <c r="R684" s="70" t="e">
        <f t="shared" si="548"/>
        <v>#N/A</v>
      </c>
      <c r="S684" s="70">
        <f t="shared" si="549"/>
        <v>0</v>
      </c>
      <c r="T684" s="70">
        <v>60</v>
      </c>
      <c r="U684" s="70" t="e">
        <f t="shared" si="550"/>
        <v>#N/A</v>
      </c>
      <c r="V684" s="70">
        <f t="shared" si="551"/>
        <v>0</v>
      </c>
      <c r="W684" s="70">
        <v>60</v>
      </c>
      <c r="X684" s="70" t="e">
        <f t="shared" si="552"/>
        <v>#N/A</v>
      </c>
      <c r="Y684" s="70">
        <f t="shared" si="553"/>
        <v>0</v>
      </c>
      <c r="Z684" s="70">
        <v>60</v>
      </c>
      <c r="AA684" s="70" t="e">
        <f t="shared" si="554"/>
        <v>#N/A</v>
      </c>
      <c r="AB684" s="70">
        <f t="shared" si="555"/>
        <v>0</v>
      </c>
      <c r="AC684" s="70">
        <v>60</v>
      </c>
    </row>
    <row r="685" spans="1:29" s="2" customFormat="1">
      <c r="A685" s="70"/>
      <c r="B685" s="70"/>
      <c r="C685" s="70" t="e">
        <f t="shared" si="538"/>
        <v>#N/A</v>
      </c>
      <c r="D685" s="70">
        <f t="shared" si="539"/>
        <v>0</v>
      </c>
      <c r="E685" s="70">
        <v>60</v>
      </c>
      <c r="F685" s="70" t="e">
        <f t="shared" si="540"/>
        <v>#N/A</v>
      </c>
      <c r="G685" s="70">
        <f t="shared" si="541"/>
        <v>0</v>
      </c>
      <c r="H685" s="70">
        <v>60</v>
      </c>
      <c r="I685" s="70" t="e">
        <f t="shared" si="542"/>
        <v>#N/A</v>
      </c>
      <c r="J685" s="70">
        <f t="shared" si="543"/>
        <v>0</v>
      </c>
      <c r="K685" s="70">
        <v>60</v>
      </c>
      <c r="L685" s="70" t="e">
        <f t="shared" si="544"/>
        <v>#N/A</v>
      </c>
      <c r="M685" s="70">
        <f t="shared" si="545"/>
        <v>0</v>
      </c>
      <c r="N685" s="70">
        <v>60</v>
      </c>
      <c r="O685" s="70" t="e">
        <f t="shared" si="546"/>
        <v>#N/A</v>
      </c>
      <c r="P685" s="70">
        <f t="shared" si="547"/>
        <v>0</v>
      </c>
      <c r="Q685" s="70">
        <v>60</v>
      </c>
      <c r="R685" s="70" t="e">
        <f t="shared" si="548"/>
        <v>#N/A</v>
      </c>
      <c r="S685" s="70">
        <f t="shared" si="549"/>
        <v>0</v>
      </c>
      <c r="T685" s="70">
        <v>60</v>
      </c>
      <c r="U685" s="70" t="e">
        <f t="shared" si="550"/>
        <v>#N/A</v>
      </c>
      <c r="V685" s="70">
        <f t="shared" si="551"/>
        <v>0</v>
      </c>
      <c r="W685" s="70">
        <v>60</v>
      </c>
      <c r="X685" s="70" t="e">
        <f t="shared" si="552"/>
        <v>#N/A</v>
      </c>
      <c r="Y685" s="70">
        <f t="shared" si="553"/>
        <v>0</v>
      </c>
      <c r="Z685" s="70">
        <v>60</v>
      </c>
      <c r="AA685" s="70" t="e">
        <f t="shared" si="554"/>
        <v>#N/A</v>
      </c>
      <c r="AB685" s="70">
        <f t="shared" si="555"/>
        <v>0</v>
      </c>
      <c r="AC685" s="70">
        <v>60</v>
      </c>
    </row>
    <row r="686" spans="1:29" s="2" customFormat="1">
      <c r="A686" s="70"/>
      <c r="B686" s="70"/>
      <c r="C686" s="70" t="e">
        <f t="shared" si="538"/>
        <v>#N/A</v>
      </c>
      <c r="D686" s="70">
        <f t="shared" si="539"/>
        <v>0</v>
      </c>
      <c r="E686" s="70">
        <v>60</v>
      </c>
      <c r="F686" s="70" t="e">
        <f t="shared" si="540"/>
        <v>#N/A</v>
      </c>
      <c r="G686" s="70">
        <f t="shared" si="541"/>
        <v>0</v>
      </c>
      <c r="H686" s="70">
        <v>60</v>
      </c>
      <c r="I686" s="70" t="e">
        <f t="shared" si="542"/>
        <v>#N/A</v>
      </c>
      <c r="J686" s="70">
        <f t="shared" si="543"/>
        <v>0</v>
      </c>
      <c r="K686" s="70">
        <v>60</v>
      </c>
      <c r="L686" s="70" t="e">
        <f t="shared" si="544"/>
        <v>#N/A</v>
      </c>
      <c r="M686" s="70">
        <f t="shared" si="545"/>
        <v>0</v>
      </c>
      <c r="N686" s="70">
        <v>60</v>
      </c>
      <c r="O686" s="70" t="e">
        <f t="shared" si="546"/>
        <v>#N/A</v>
      </c>
      <c r="P686" s="70">
        <f t="shared" si="547"/>
        <v>0</v>
      </c>
      <c r="Q686" s="70">
        <v>60</v>
      </c>
      <c r="R686" s="70" t="e">
        <f t="shared" si="548"/>
        <v>#N/A</v>
      </c>
      <c r="S686" s="70">
        <f t="shared" si="549"/>
        <v>0</v>
      </c>
      <c r="T686" s="70">
        <v>60</v>
      </c>
      <c r="U686" s="70" t="e">
        <f t="shared" si="550"/>
        <v>#N/A</v>
      </c>
      <c r="V686" s="70">
        <f t="shared" si="551"/>
        <v>0</v>
      </c>
      <c r="W686" s="70">
        <v>60</v>
      </c>
      <c r="X686" s="70" t="e">
        <f t="shared" si="552"/>
        <v>#N/A</v>
      </c>
      <c r="Y686" s="70">
        <f t="shared" si="553"/>
        <v>0</v>
      </c>
      <c r="Z686" s="70">
        <v>60</v>
      </c>
      <c r="AA686" s="70" t="e">
        <f t="shared" si="554"/>
        <v>#N/A</v>
      </c>
      <c r="AB686" s="70">
        <f t="shared" si="555"/>
        <v>0</v>
      </c>
      <c r="AC686" s="70">
        <v>60</v>
      </c>
    </row>
    <row r="687" spans="1:29" s="2" customFormat="1">
      <c r="A687" s="70"/>
      <c r="B687" s="70"/>
      <c r="C687" s="70" t="e">
        <f t="shared" si="538"/>
        <v>#N/A</v>
      </c>
      <c r="D687" s="70">
        <f t="shared" si="539"/>
        <v>0</v>
      </c>
      <c r="E687" s="70">
        <v>60</v>
      </c>
      <c r="F687" s="70" t="e">
        <f t="shared" si="540"/>
        <v>#N/A</v>
      </c>
      <c r="G687" s="70">
        <f t="shared" si="541"/>
        <v>0</v>
      </c>
      <c r="H687" s="70">
        <v>60</v>
      </c>
      <c r="I687" s="70" t="e">
        <f t="shared" si="542"/>
        <v>#N/A</v>
      </c>
      <c r="J687" s="70">
        <f t="shared" si="543"/>
        <v>0</v>
      </c>
      <c r="K687" s="70">
        <v>60</v>
      </c>
      <c r="L687" s="70" t="e">
        <f t="shared" si="544"/>
        <v>#N/A</v>
      </c>
      <c r="M687" s="70">
        <f t="shared" si="545"/>
        <v>0</v>
      </c>
      <c r="N687" s="70">
        <v>60</v>
      </c>
      <c r="O687" s="70" t="e">
        <f t="shared" si="546"/>
        <v>#N/A</v>
      </c>
      <c r="P687" s="70">
        <f t="shared" si="547"/>
        <v>0</v>
      </c>
      <c r="Q687" s="70">
        <v>60</v>
      </c>
      <c r="R687" s="70" t="e">
        <f t="shared" si="548"/>
        <v>#N/A</v>
      </c>
      <c r="S687" s="70">
        <f t="shared" si="549"/>
        <v>0</v>
      </c>
      <c r="T687" s="70">
        <v>60</v>
      </c>
      <c r="U687" s="70" t="e">
        <f t="shared" si="550"/>
        <v>#N/A</v>
      </c>
      <c r="V687" s="70">
        <f t="shared" si="551"/>
        <v>0</v>
      </c>
      <c r="W687" s="70">
        <v>60</v>
      </c>
      <c r="X687" s="70" t="e">
        <f t="shared" si="552"/>
        <v>#N/A</v>
      </c>
      <c r="Y687" s="70">
        <f t="shared" si="553"/>
        <v>0</v>
      </c>
      <c r="Z687" s="70">
        <v>60</v>
      </c>
      <c r="AA687" s="70" t="e">
        <f t="shared" si="554"/>
        <v>#N/A</v>
      </c>
      <c r="AB687" s="70">
        <f t="shared" si="555"/>
        <v>0</v>
      </c>
      <c r="AC687" s="70">
        <v>60</v>
      </c>
    </row>
    <row r="688" spans="1:29" s="2" customFormat="1">
      <c r="A688" s="70"/>
      <c r="B688" s="70"/>
      <c r="C688" s="70" t="e">
        <f t="shared" si="538"/>
        <v>#N/A</v>
      </c>
      <c r="D688" s="70">
        <f t="shared" si="539"/>
        <v>0</v>
      </c>
      <c r="E688" s="70">
        <v>60</v>
      </c>
      <c r="F688" s="70" t="e">
        <f t="shared" si="540"/>
        <v>#N/A</v>
      </c>
      <c r="G688" s="70">
        <f t="shared" si="541"/>
        <v>0</v>
      </c>
      <c r="H688" s="70">
        <v>60</v>
      </c>
      <c r="I688" s="70" t="e">
        <f t="shared" si="542"/>
        <v>#N/A</v>
      </c>
      <c r="J688" s="70">
        <f t="shared" si="543"/>
        <v>0</v>
      </c>
      <c r="K688" s="70">
        <v>60</v>
      </c>
      <c r="L688" s="70" t="e">
        <f t="shared" si="544"/>
        <v>#N/A</v>
      </c>
      <c r="M688" s="70">
        <f t="shared" si="545"/>
        <v>0</v>
      </c>
      <c r="N688" s="70">
        <v>60</v>
      </c>
      <c r="O688" s="70" t="e">
        <f t="shared" si="546"/>
        <v>#N/A</v>
      </c>
      <c r="P688" s="70">
        <f t="shared" si="547"/>
        <v>0</v>
      </c>
      <c r="Q688" s="70">
        <v>60</v>
      </c>
      <c r="R688" s="70" t="e">
        <f t="shared" si="548"/>
        <v>#N/A</v>
      </c>
      <c r="S688" s="70">
        <f t="shared" si="549"/>
        <v>0</v>
      </c>
      <c r="T688" s="70">
        <v>60</v>
      </c>
      <c r="U688" s="70" t="e">
        <f t="shared" si="550"/>
        <v>#N/A</v>
      </c>
      <c r="V688" s="70">
        <f t="shared" si="551"/>
        <v>0</v>
      </c>
      <c r="W688" s="70">
        <v>60</v>
      </c>
      <c r="X688" s="70" t="e">
        <f t="shared" si="552"/>
        <v>#N/A</v>
      </c>
      <c r="Y688" s="70">
        <f t="shared" si="553"/>
        <v>0</v>
      </c>
      <c r="Z688" s="70">
        <v>60</v>
      </c>
      <c r="AA688" s="70" t="e">
        <f t="shared" si="554"/>
        <v>#N/A</v>
      </c>
      <c r="AB688" s="70">
        <f t="shared" si="555"/>
        <v>0</v>
      </c>
      <c r="AC688" s="70">
        <v>60</v>
      </c>
    </row>
    <row r="689" spans="1:29" s="2" customFormat="1">
      <c r="A689" s="70"/>
      <c r="B689" s="70"/>
      <c r="C689" s="70" t="str">
        <f>IFERROR(IF(AND(C681,$A$19+1&gt;D9),0,IF(D9=0,"",MAX(0,ROUNDUP((MIN(D$9:D$16)-$A$19)/((E$1/600)+(0.005*$A$3)),0)))),"")</f>
        <v/>
      </c>
      <c r="D689" s="70">
        <f>MIN($C689,$F689,$I689,$L689,$O689,$R689,$U689,$X689,$AA689)+1</f>
        <v>1</v>
      </c>
      <c r="E689" s="70" t="e">
        <f>MAX(0,IF(E$1=0,D9,IF(E$1="I",0,IF(F$1="D",E681-D689,ROUNDUP((D9-(IF(D9&lt;=MAX(C569,C577,C585,C593,C601,C609,C617,C625,C633,C641,C649,C657,C665,C673)+1,D9,MAX(C569,C577,C585,C593,C601,C609,C617,C625,C633,C641,C649,C657,C665,C673)))-(D689*((E$1/600)+(0.005*$A$3))))/(E$1/600),0)))))</f>
        <v>#N/A</v>
      </c>
      <c r="F689" s="70" t="str">
        <f>IFERROR(IF(AND(F681,$A$19+1&gt;G9),0,IF(G9=0,"",MAX(0,ROUNDUP((MIN(G$9:G$16)-$A$19)/((H$1/600)+(0.005*$A$3)),0)))),"")</f>
        <v/>
      </c>
      <c r="G689" s="70">
        <f t="shared" ref="G689:G696" si="556">MIN($C689,$F689,$I689,$L689,$O689,$R689,$U689,$X689,$AA689)+1</f>
        <v>1</v>
      </c>
      <c r="H689" s="70">
        <f>IF(H$1=0,G9,IF(H$1="I",G681,IF(I$1="D",H681,ROUNDUP((G9-(IF(G9&lt;=MAX(F569,F577,F585,F593,F601,F609,F617,F625,F633,F641,F649,F657,F665,F673)+1,G9,MAX(F569,F577,F585,F593,F601,F609,F617,F625,F633,F641,F649,F657,F665,F673)))-(G689*((H$1/600)+(0.005*$A$3))))/(H$1/600),0))))</f>
        <v>-3</v>
      </c>
      <c r="I689" s="70" t="str">
        <f>IFERROR(IF(AND(I681,$A$19+1&gt;J9),0,IF(J9=0,"",MAX(0,ROUNDUP((MIN(J$9:J$16)-$A$19)/((K$1/600)+(0.005*$A$3)),0)))),"")</f>
        <v/>
      </c>
      <c r="J689" s="70">
        <f t="shared" ref="J689:J696" si="557">MIN($C689,$F689,$I689,$L689,$O689,$R689,$U689,$X689,$AA689)+1</f>
        <v>1</v>
      </c>
      <c r="K689" s="70">
        <f>IF(K$1=0,J9,IF(K$1="I",J681,IF(L$1="D",K681,ROUNDUP((J9-(IF(J9&lt;=MAX(I569,I577,I585,I593,I601,I609,I617,I625,I633,I641,I649,I657,I665,I673)+1,J9,MAX(I569,I577,I585,I593,I601,I609,I617,I625,I633,I641,I649,I657,I665,I673)))-(J689*((K$1/600)+(0.005*$A$3))))/(K$1/600),0))))</f>
        <v>-2</v>
      </c>
      <c r="L689" s="70" t="str">
        <f>IFERROR(IF(AND(L681,$A$19+1&gt;M9),0,IF(M9=0,"",MAX(0,ROUNDUP((MIN(M$9:M$16)-$A$19)/((N$1/600)+(0.005*$A$3)),0)))),"")</f>
        <v/>
      </c>
      <c r="M689" s="70">
        <f t="shared" ref="M689:M696" si="558">MIN($C689,$F689,$I689,$L689,$O689,$R689,$U689,$X689,$AA689)+1</f>
        <v>1</v>
      </c>
      <c r="N689" s="70" t="e">
        <f>IF(N$1=0,M9,IF(N$1="I",M681,IF(O$1="D",N681,ROUNDUP((M9-(IF(M9&lt;=MAX(L569,L577,L585,L593,L601,L609,L617,L625,L633,L641,L649,L657,L665,L673)+1,M9,MAX(L569,L577,L585,L593,L601,L609,L617,L625,L633,L641,L649,L657,L665,L673)))-(M689*((N$1/600)+(0.005*$A$3))))/(N$1/600),0))))</f>
        <v>#N/A</v>
      </c>
      <c r="O689" s="70" t="str">
        <f>IFERROR(IF(AND(O681,$A$19+1&gt;P9),0,IF(P9=0,"",MAX(0,ROUNDUP((MIN(P$9:P$16)-$A$19)/((Q$1/600)+(0.005*$A$3)),0)))),"")</f>
        <v/>
      </c>
      <c r="P689" s="70">
        <f t="shared" ref="P689:P696" si="559">MIN($C689,$F689,$I689,$L689,$O689,$R689,$U689,$X689,$AA689)+1</f>
        <v>1</v>
      </c>
      <c r="Q689" s="70" t="e">
        <f>IF(Q$1=0,P9,IF(Q$1="I",P681,IF(R$1="D",Q681,ROUNDUP((P9-(IF(P9&lt;=MAX(O569,O577,O585,O593,O601,O609,O617,O625,O633,O641,O649,O657,O665,O673)+1,P9,MAX(O569,O577,O585,O593,O601,O609,O617,O625,O633,O641,O649,O657,O665,O673)))-(P689*((Q$1/600)+(0.005*$A$3))))/(Q$1/600),0))))</f>
        <v>#N/A</v>
      </c>
      <c r="R689" s="70" t="str">
        <f>IFERROR(IF(AND(R681,$A$19+1&gt;S9),0,IF(S9=0,"",MAX(0,ROUNDUP((MIN(S$9:S$16)-$A$19)/((T$1/600)+(0.005*$A$3)),0)))),"")</f>
        <v/>
      </c>
      <c r="S689" s="70">
        <f t="shared" ref="S689:S696" si="560">MIN($C689,$F689,$I689,$L689,$O689,$R689,$U689,$X689,$AA689)+1</f>
        <v>1</v>
      </c>
      <c r="T689" s="70" t="e">
        <f>IF(T$1=0,S9,IF(T$1="I",S681,IF(U$1="D",T681,ROUNDUP((S9-(IF(S9&lt;=MAX(R569,R577,R585,R593,R601,R609,R617,R625,R633,R641,R649,R657,R665,R673)+1,S9,MAX(R569,R577,R585,R593,R601,R609,R617,R625,R633,R641,R649,R657,R665,R673)))-(S689*((T$1/600)+(0.005*$A$3))))/(T$1/600),0))))</f>
        <v>#N/A</v>
      </c>
      <c r="U689" s="70" t="str">
        <f>IFERROR(IF(AND(U681,$A$19+1&gt;V9),0,IF(V9=0,"",MAX(0,ROUNDUP((MIN(V$9:V$16)-$A$19)/((W$1/600)+(0.005*$A$3)),0)))),"")</f>
        <v/>
      </c>
      <c r="V689" s="70">
        <f t="shared" ref="V689:V696" si="561">MIN($C689,$F689,$I689,$L689,$O689,$R689,$U689,$X689,$AA689)+1</f>
        <v>1</v>
      </c>
      <c r="W689" s="70" t="e">
        <f>IF(W$1=0,V9,IF(W$1="I",V681,IF(X$1="D",W681,ROUNDUP((V9-(IF(V9&lt;=MAX(U569,U577,U585,U593,U601,U609,U617,U625,U633,U641,U649,U657,U665,U673)+1,V9,MAX(U569,U577,U585,U593,U601,U609,U617,U625,U633,U641,U649,U657,U665,U673)))-(V689*((W$1/600)+(0.005*$A$3))))/(W$1/600),0))))</f>
        <v>#N/A</v>
      </c>
      <c r="X689" s="70" t="str">
        <f>IFERROR(IF(AND(X681,$A$19+1&gt;Y9),0,IF(Y9=0,"",MAX(0,ROUNDUP((MIN(Y$9:Y$16)-$A$19)/((Z$1/600)+(0.005*$A$3)),0)))),"")</f>
        <v/>
      </c>
      <c r="Y689" s="70">
        <f t="shared" ref="Y689:Y696" si="562">MIN($C689,$F689,$I689,$L689,$O689,$R689,$U689,$X689,$AA689)+1</f>
        <v>1</v>
      </c>
      <c r="Z689" s="70" t="e">
        <f>IF(Z$1=0,Y9,IF(Z$1="I",Y681,IF(AA$1="D",Z681,ROUNDUP((Y9-(IF(Y9&lt;=MAX(X569,X577,X585,X593,X601,X609,X617,X625,X633,X641,X649,X657,X665,X673)+1,Y9,MAX(X569,X577,X585,X593,X601,X609,X617,X625,X633,X641,X649,X657,X665,X673)))-(Y689*((Z$1/600)+(0.005*$A$3))))/(Z$1/600),0))))</f>
        <v>#N/A</v>
      </c>
      <c r="AA689" s="70" t="str">
        <f>IFERROR(IF(AND(AA681,$A$19+1&gt;AB9),0,IF(AB9=0,"",MAX(0,ROUNDUP((MIN(AB$9:AB$16)-$A$19)/((AC$1/600)+(0.005*$A$3)),0)))),"")</f>
        <v/>
      </c>
      <c r="AB689" s="70">
        <f t="shared" ref="AB689:AB696" si="563">MIN($C689,$F689,$I689,$L689,$O689,$R689,$U689,$X689,$AA689)+1</f>
        <v>1</v>
      </c>
      <c r="AC689" s="70" t="e">
        <f>IF(AC$1=0,AB9,IF(AC$1="I",AB681,IF(AD$1="D",AC681,ROUNDUP((AB9-(IF(AB9&lt;=MAX(AA569,AA577,AA585,AA593,AA601,AA609,AA617,AA625,AA633,AA641,AA649,AA657,AA665,AA673)+1,AB9,MAX(AA569,AA577,AA585,AA593,AA601,AA609,AA617,AA625,AA633,AA641,AA649,AA657,AA665,AA673)))-(AB689*((AC$1/600)+(0.005*$A$3))))/(AC$1/600),0))))</f>
        <v>#N/A</v>
      </c>
    </row>
    <row r="690" spans="1:29" s="2" customFormat="1">
      <c r="A690" s="70"/>
      <c r="B690" s="70"/>
      <c r="C690" s="70" t="str">
        <f t="shared" ref="C690:C696" si="564">IFERROR(IF(AND(C682,$A$19+1&gt;D10),0,IF(D10=0,"",MAX(0,ROUNDUP((MIN(D$9:D$16)-$A$19)/((E$1/600)+(0.005*$A$3)),0)))),"")</f>
        <v/>
      </c>
      <c r="D690" s="70">
        <f t="shared" ref="D690:D696" si="565">MIN($C690,$F690,$I690,$L690,$O690,$R690,$U690,$X690,$AA690)+1</f>
        <v>1</v>
      </c>
      <c r="E690" s="70">
        <f t="shared" ref="E690:E696" si="566">MAX(0,IF($A$5,IF(E$1=0,D10,IF(E$1="I",0,IF(F$1="D",E682-D690,ROUNDUP((D10-(IF(D10&lt;=MAX(C570,C578,C586,C594,C602,C610,C618,C626,C634,C642,C650,C658,C666,C674)+1,D10,MAX(C570,C578,C586,C594,C602,C610,C618,C626,C634,C642,C650,C658,C666,C674)))-(D690*((E$1/600)+(0.005*$A$3))))/(E$1/600),0)))),0))</f>
        <v>0</v>
      </c>
      <c r="F690" s="70" t="str">
        <f t="shared" ref="F690:F696" si="567">IFERROR(IF(AND(F682,$A$19+1&gt;G10),0,IF(G10=0,"",MAX(0,ROUNDUP((MIN(G$9:G$16)-$A$19)/((H$1/600)+(0.005*$A$3)),0)))),"")</f>
        <v/>
      </c>
      <c r="G690" s="70">
        <f t="shared" si="556"/>
        <v>1</v>
      </c>
      <c r="H690" s="70">
        <f t="shared" ref="H690:H696" si="568">IF(H$1=0,G10,IF(H$1="I",G682,IF(I$1="D",H682,ROUNDUP((G10-(IF(G10&lt;=MAX(F570,F578,F586,F594,F602,F610,F618,F626,F634,F642,F650,F658,F666,F674)+1,G10,MAX(F570,F578,F586,F594,F602,F610,F618,F626,F634,F642,F650,F658,F666,F674)))-(G690*((H$1/600)+(0.005*$A$3))))/(H$1/600),0))))</f>
        <v>-3</v>
      </c>
      <c r="I690" s="70" t="str">
        <f t="shared" ref="I690:I696" si="569">IFERROR(IF(AND(I682,$A$19+1&gt;J10),0,IF(J10=0,"",MAX(0,ROUNDUP((MIN(J$9:J$16)-$A$19)/((K$1/600)+(0.005*$A$3)),0)))),"")</f>
        <v/>
      </c>
      <c r="J690" s="70">
        <f t="shared" si="557"/>
        <v>1</v>
      </c>
      <c r="K690" s="70">
        <f t="shared" ref="K690:K696" si="570">IF(K$1=0,J10,IF(K$1="I",J682,IF(L$1="D",K682,ROUNDUP((J10-(IF(J10&lt;=MAX(I570,I578,I586,I594,I602,I610,I618,I626,I634,I642,I650,I658,I666,I674)+1,J10,MAX(I570,I578,I586,I594,I602,I610,I618,I626,I634,I642,I650,I658,I666,I674)))-(J690*((K$1/600)+(0.005*$A$3))))/(K$1/600),0))))</f>
        <v>-2</v>
      </c>
      <c r="L690" s="70" t="str">
        <f t="shared" ref="L690:L696" si="571">IFERROR(IF(AND(L682,$A$19+1&gt;M10),0,IF(M10=0,"",MAX(0,ROUNDUP((MIN(M$9:M$16)-$A$19)/((N$1/600)+(0.005*$A$3)),0)))),"")</f>
        <v/>
      </c>
      <c r="M690" s="70">
        <f t="shared" si="558"/>
        <v>1</v>
      </c>
      <c r="N690" s="70" t="e">
        <f t="shared" ref="N690:N696" si="572">IF(N$1=0,M10,IF(N$1="I",M682,IF(O$1="D",N682,ROUNDUP((M10-(IF(M10&lt;=MAX(L570,L578,L586,L594,L602,L610,L618,L626,L634,L642,L650,L658,L666,L674)+1,M10,MAX(L570,L578,L586,L594,L602,L610,L618,L626,L634,L642,L650,L658,L666,L674)))-(M690*((N$1/600)+(0.005*$A$3))))/(N$1/600),0))))</f>
        <v>#N/A</v>
      </c>
      <c r="O690" s="70" t="str">
        <f t="shared" ref="O690:O696" si="573">IFERROR(IF(AND(O682,$A$19+1&gt;P10),0,IF(P10=0,"",MAX(0,ROUNDUP((MIN(P$9:P$16)-$A$19)/((Q$1/600)+(0.005*$A$3)),0)))),"")</f>
        <v/>
      </c>
      <c r="P690" s="70">
        <f t="shared" si="559"/>
        <v>1</v>
      </c>
      <c r="Q690" s="70" t="e">
        <f t="shared" ref="Q690:Q696" si="574">IF(Q$1=0,P10,IF(Q$1="I",P682,IF(R$1="D",Q682,ROUNDUP((P10-(IF(P10&lt;=MAX(O570,O578,O586,O594,O602,O610,O618,O626,O634,O642,O650,O658,O666,O674)+1,P10,MAX(O570,O578,O586,O594,O602,O610,O618,O626,O634,O642,O650,O658,O666,O674)))-(P690*((Q$1/600)+(0.005*$A$3))))/(Q$1/600),0))))</f>
        <v>#N/A</v>
      </c>
      <c r="R690" s="70" t="str">
        <f t="shared" ref="R690:R696" si="575">IFERROR(IF(AND(R682,$A$19+1&gt;S10),0,IF(S10=0,"",MAX(0,ROUNDUP((MIN(S$9:S$16)-$A$19)/((T$1/600)+(0.005*$A$3)),0)))),"")</f>
        <v/>
      </c>
      <c r="S690" s="70">
        <f t="shared" si="560"/>
        <v>1</v>
      </c>
      <c r="T690" s="70" t="e">
        <f t="shared" ref="T690:T696" si="576">IF(T$1=0,S10,IF(T$1="I",S682,IF(U$1="D",T682,ROUNDUP((S10-(IF(S10&lt;=MAX(R570,R578,R586,R594,R602,R610,R618,R626,R634,R642,R650,R658,R666,R674)+1,S10,MAX(R570,R578,R586,R594,R602,R610,R618,R626,R634,R642,R650,R658,R666,R674)))-(S690*((T$1/600)+(0.005*$A$3))))/(T$1/600),0))))</f>
        <v>#N/A</v>
      </c>
      <c r="U690" s="70" t="str">
        <f t="shared" ref="U690:U696" si="577">IFERROR(IF(AND(U682,$A$19+1&gt;V10),0,IF(V10=0,"",MAX(0,ROUNDUP((MIN(V$9:V$16)-$A$19)/((W$1/600)+(0.005*$A$3)),0)))),"")</f>
        <v/>
      </c>
      <c r="V690" s="70">
        <f t="shared" si="561"/>
        <v>1</v>
      </c>
      <c r="W690" s="70" t="e">
        <f t="shared" ref="W690:W696" si="578">IF(W$1=0,V10,IF(W$1="I",V682,IF(X$1="D",W682,ROUNDUP((V10-(IF(V10&lt;=MAX(U570,U578,U586,U594,U602,U610,U618,U626,U634,U642,U650,U658,U666,U674)+1,V10,MAX(U570,U578,U586,U594,U602,U610,U618,U626,U634,U642,U650,U658,U666,U674)))-(V690*((W$1/600)+(0.005*$A$3))))/(W$1/600),0))))</f>
        <v>#N/A</v>
      </c>
      <c r="X690" s="70" t="str">
        <f t="shared" ref="X690:X696" si="579">IFERROR(IF(AND(X682,$A$19+1&gt;Y10),0,IF(Y10=0,"",MAX(0,ROUNDUP((MIN(Y$9:Y$16)-$A$19)/((Z$1/600)+(0.005*$A$3)),0)))),"")</f>
        <v/>
      </c>
      <c r="Y690" s="70">
        <f t="shared" si="562"/>
        <v>1</v>
      </c>
      <c r="Z690" s="70" t="e">
        <f t="shared" ref="Z690:Z696" si="580">IF(Z$1=0,Y10,IF(Z$1="I",Y682,IF(AA$1="D",Z682,ROUNDUP((Y10-(IF(Y10&lt;=MAX(X570,X578,X586,X594,X602,X610,X618,X626,X634,X642,X650,X658,X666,X674)+1,Y10,MAX(X570,X578,X586,X594,X602,X610,X618,X626,X634,X642,X650,X658,X666,X674)))-(Y690*((Z$1/600)+(0.005*$A$3))))/(Z$1/600),0))))</f>
        <v>#N/A</v>
      </c>
      <c r="AA690" s="70" t="str">
        <f t="shared" ref="AA690:AA696" si="581">IFERROR(IF(AND(AA682,$A$19+1&gt;AB10),0,IF(AB10=0,"",MAX(0,ROUNDUP((MIN(AB$9:AB$16)-$A$19)/((AC$1/600)+(0.005*$A$3)),0)))),"")</f>
        <v/>
      </c>
      <c r="AB690" s="70">
        <f t="shared" si="563"/>
        <v>1</v>
      </c>
      <c r="AC690" s="70" t="e">
        <f t="shared" ref="AC690:AC696" si="582">IF(AC$1=0,AB10,IF(AC$1="I",AB682,IF(AD$1="D",AC682,ROUNDUP((AB10-(IF(AB10&lt;=MAX(AA570,AA578,AA586,AA594,AA602,AA610,AA618,AA626,AA634,AA642,AA650,AA658,AA666,AA674)+1,AB10,MAX(AA570,AA578,AA586,AA594,AA602,AA610,AA618,AA626,AA634,AA642,AA650,AA658,AA666,AA674)))-(AB690*((AC$1/600)+(0.005*$A$3))))/(AC$1/600),0))))</f>
        <v>#N/A</v>
      </c>
    </row>
    <row r="691" spans="1:29" s="2" customFormat="1">
      <c r="A691" s="70"/>
      <c r="B691" s="70"/>
      <c r="C691" s="70" t="str">
        <f t="shared" si="564"/>
        <v/>
      </c>
      <c r="D691" s="70">
        <f t="shared" si="565"/>
        <v>1</v>
      </c>
      <c r="E691" s="70">
        <f t="shared" si="566"/>
        <v>0</v>
      </c>
      <c r="F691" s="70" t="str">
        <f t="shared" si="567"/>
        <v/>
      </c>
      <c r="G691" s="70">
        <f t="shared" si="556"/>
        <v>1</v>
      </c>
      <c r="H691" s="70">
        <f t="shared" si="568"/>
        <v>-3</v>
      </c>
      <c r="I691" s="70" t="str">
        <f t="shared" si="569"/>
        <v/>
      </c>
      <c r="J691" s="70">
        <f t="shared" si="557"/>
        <v>1</v>
      </c>
      <c r="K691" s="70">
        <f t="shared" si="570"/>
        <v>-2</v>
      </c>
      <c r="L691" s="70" t="str">
        <f t="shared" si="571"/>
        <v/>
      </c>
      <c r="M691" s="70">
        <f t="shared" si="558"/>
        <v>1</v>
      </c>
      <c r="N691" s="70" t="e">
        <f t="shared" si="572"/>
        <v>#N/A</v>
      </c>
      <c r="O691" s="70" t="str">
        <f t="shared" si="573"/>
        <v/>
      </c>
      <c r="P691" s="70">
        <f t="shared" si="559"/>
        <v>1</v>
      </c>
      <c r="Q691" s="70" t="e">
        <f t="shared" si="574"/>
        <v>#N/A</v>
      </c>
      <c r="R691" s="70" t="str">
        <f t="shared" si="575"/>
        <v/>
      </c>
      <c r="S691" s="70">
        <f t="shared" si="560"/>
        <v>1</v>
      </c>
      <c r="T691" s="70" t="e">
        <f t="shared" si="576"/>
        <v>#N/A</v>
      </c>
      <c r="U691" s="70" t="str">
        <f t="shared" si="577"/>
        <v/>
      </c>
      <c r="V691" s="70">
        <f t="shared" si="561"/>
        <v>1</v>
      </c>
      <c r="W691" s="70" t="e">
        <f t="shared" si="578"/>
        <v>#N/A</v>
      </c>
      <c r="X691" s="70" t="str">
        <f t="shared" si="579"/>
        <v/>
      </c>
      <c r="Y691" s="70">
        <f t="shared" si="562"/>
        <v>1</v>
      </c>
      <c r="Z691" s="70" t="e">
        <f t="shared" si="580"/>
        <v>#N/A</v>
      </c>
      <c r="AA691" s="70" t="str">
        <f t="shared" si="581"/>
        <v/>
      </c>
      <c r="AB691" s="70">
        <f t="shared" si="563"/>
        <v>1</v>
      </c>
      <c r="AC691" s="70" t="e">
        <f t="shared" si="582"/>
        <v>#N/A</v>
      </c>
    </row>
    <row r="692" spans="1:29" s="2" customFormat="1">
      <c r="A692" s="70"/>
      <c r="B692" s="70"/>
      <c r="C692" s="70" t="str">
        <f t="shared" si="564"/>
        <v/>
      </c>
      <c r="D692" s="70">
        <f t="shared" si="565"/>
        <v>1</v>
      </c>
      <c r="E692" s="70">
        <f t="shared" si="566"/>
        <v>0</v>
      </c>
      <c r="F692" s="70" t="str">
        <f t="shared" si="567"/>
        <v/>
      </c>
      <c r="G692" s="70">
        <f t="shared" si="556"/>
        <v>1</v>
      </c>
      <c r="H692" s="70">
        <f t="shared" si="568"/>
        <v>-3</v>
      </c>
      <c r="I692" s="70" t="str">
        <f t="shared" si="569"/>
        <v/>
      </c>
      <c r="J692" s="70">
        <f t="shared" si="557"/>
        <v>1</v>
      </c>
      <c r="K692" s="70">
        <f t="shared" si="570"/>
        <v>-2</v>
      </c>
      <c r="L692" s="70" t="str">
        <f t="shared" si="571"/>
        <v/>
      </c>
      <c r="M692" s="70">
        <f t="shared" si="558"/>
        <v>1</v>
      </c>
      <c r="N692" s="70" t="e">
        <f t="shared" si="572"/>
        <v>#N/A</v>
      </c>
      <c r="O692" s="70" t="str">
        <f t="shared" si="573"/>
        <v/>
      </c>
      <c r="P692" s="70">
        <f t="shared" si="559"/>
        <v>1</v>
      </c>
      <c r="Q692" s="70" t="e">
        <f t="shared" si="574"/>
        <v>#N/A</v>
      </c>
      <c r="R692" s="70" t="str">
        <f t="shared" si="575"/>
        <v/>
      </c>
      <c r="S692" s="70">
        <f t="shared" si="560"/>
        <v>1</v>
      </c>
      <c r="T692" s="70" t="e">
        <f t="shared" si="576"/>
        <v>#N/A</v>
      </c>
      <c r="U692" s="70" t="str">
        <f t="shared" si="577"/>
        <v/>
      </c>
      <c r="V692" s="70">
        <f t="shared" si="561"/>
        <v>1</v>
      </c>
      <c r="W692" s="70" t="e">
        <f t="shared" si="578"/>
        <v>#N/A</v>
      </c>
      <c r="X692" s="70" t="str">
        <f t="shared" si="579"/>
        <v/>
      </c>
      <c r="Y692" s="70">
        <f t="shared" si="562"/>
        <v>1</v>
      </c>
      <c r="Z692" s="70" t="e">
        <f t="shared" si="580"/>
        <v>#N/A</v>
      </c>
      <c r="AA692" s="70" t="str">
        <f t="shared" si="581"/>
        <v/>
      </c>
      <c r="AB692" s="70">
        <f t="shared" si="563"/>
        <v>1</v>
      </c>
      <c r="AC692" s="70" t="e">
        <f t="shared" si="582"/>
        <v>#N/A</v>
      </c>
    </row>
    <row r="693" spans="1:29" s="2" customFormat="1">
      <c r="A693" s="70"/>
      <c r="B693" s="70"/>
      <c r="C693" s="70" t="str">
        <f t="shared" si="564"/>
        <v/>
      </c>
      <c r="D693" s="70">
        <f t="shared" si="565"/>
        <v>1</v>
      </c>
      <c r="E693" s="70">
        <f t="shared" si="566"/>
        <v>0</v>
      </c>
      <c r="F693" s="70" t="str">
        <f t="shared" si="567"/>
        <v/>
      </c>
      <c r="G693" s="70">
        <f t="shared" si="556"/>
        <v>1</v>
      </c>
      <c r="H693" s="70">
        <f t="shared" si="568"/>
        <v>-3</v>
      </c>
      <c r="I693" s="70" t="str">
        <f t="shared" si="569"/>
        <v/>
      </c>
      <c r="J693" s="70">
        <f t="shared" si="557"/>
        <v>1</v>
      </c>
      <c r="K693" s="70">
        <f t="shared" si="570"/>
        <v>-2</v>
      </c>
      <c r="L693" s="70" t="str">
        <f t="shared" si="571"/>
        <v/>
      </c>
      <c r="M693" s="70">
        <f t="shared" si="558"/>
        <v>1</v>
      </c>
      <c r="N693" s="70" t="e">
        <f t="shared" si="572"/>
        <v>#N/A</v>
      </c>
      <c r="O693" s="70" t="str">
        <f t="shared" si="573"/>
        <v/>
      </c>
      <c r="P693" s="70">
        <f t="shared" si="559"/>
        <v>1</v>
      </c>
      <c r="Q693" s="70" t="e">
        <f t="shared" si="574"/>
        <v>#N/A</v>
      </c>
      <c r="R693" s="70" t="str">
        <f t="shared" si="575"/>
        <v/>
      </c>
      <c r="S693" s="70">
        <f t="shared" si="560"/>
        <v>1</v>
      </c>
      <c r="T693" s="70" t="e">
        <f t="shared" si="576"/>
        <v>#N/A</v>
      </c>
      <c r="U693" s="70" t="str">
        <f t="shared" si="577"/>
        <v/>
      </c>
      <c r="V693" s="70">
        <f t="shared" si="561"/>
        <v>1</v>
      </c>
      <c r="W693" s="70" t="e">
        <f t="shared" si="578"/>
        <v>#N/A</v>
      </c>
      <c r="X693" s="70" t="str">
        <f t="shared" si="579"/>
        <v/>
      </c>
      <c r="Y693" s="70">
        <f t="shared" si="562"/>
        <v>1</v>
      </c>
      <c r="Z693" s="70" t="e">
        <f t="shared" si="580"/>
        <v>#N/A</v>
      </c>
      <c r="AA693" s="70" t="str">
        <f t="shared" si="581"/>
        <v/>
      </c>
      <c r="AB693" s="70">
        <f t="shared" si="563"/>
        <v>1</v>
      </c>
      <c r="AC693" s="70" t="e">
        <f t="shared" si="582"/>
        <v>#N/A</v>
      </c>
    </row>
    <row r="694" spans="1:29" s="2" customFormat="1">
      <c r="A694" s="70"/>
      <c r="B694" s="70"/>
      <c r="C694" s="70" t="str">
        <f t="shared" si="564"/>
        <v/>
      </c>
      <c r="D694" s="70">
        <f t="shared" si="565"/>
        <v>1</v>
      </c>
      <c r="E694" s="70">
        <f t="shared" si="566"/>
        <v>0</v>
      </c>
      <c r="F694" s="70" t="str">
        <f t="shared" si="567"/>
        <v/>
      </c>
      <c r="G694" s="70">
        <f t="shared" si="556"/>
        <v>1</v>
      </c>
      <c r="H694" s="70">
        <f t="shared" si="568"/>
        <v>-3</v>
      </c>
      <c r="I694" s="70" t="str">
        <f t="shared" si="569"/>
        <v/>
      </c>
      <c r="J694" s="70">
        <f t="shared" si="557"/>
        <v>1</v>
      </c>
      <c r="K694" s="70">
        <f t="shared" si="570"/>
        <v>-2</v>
      </c>
      <c r="L694" s="70" t="str">
        <f t="shared" si="571"/>
        <v/>
      </c>
      <c r="M694" s="70">
        <f t="shared" si="558"/>
        <v>1</v>
      </c>
      <c r="N694" s="70" t="e">
        <f t="shared" si="572"/>
        <v>#N/A</v>
      </c>
      <c r="O694" s="70" t="str">
        <f t="shared" si="573"/>
        <v/>
      </c>
      <c r="P694" s="70">
        <f t="shared" si="559"/>
        <v>1</v>
      </c>
      <c r="Q694" s="70" t="e">
        <f t="shared" si="574"/>
        <v>#N/A</v>
      </c>
      <c r="R694" s="70" t="str">
        <f t="shared" si="575"/>
        <v/>
      </c>
      <c r="S694" s="70">
        <f t="shared" si="560"/>
        <v>1</v>
      </c>
      <c r="T694" s="70" t="e">
        <f t="shared" si="576"/>
        <v>#N/A</v>
      </c>
      <c r="U694" s="70" t="str">
        <f t="shared" si="577"/>
        <v/>
      </c>
      <c r="V694" s="70">
        <f t="shared" si="561"/>
        <v>1</v>
      </c>
      <c r="W694" s="70" t="e">
        <f t="shared" si="578"/>
        <v>#N/A</v>
      </c>
      <c r="X694" s="70" t="str">
        <f t="shared" si="579"/>
        <v/>
      </c>
      <c r="Y694" s="70">
        <f t="shared" si="562"/>
        <v>1</v>
      </c>
      <c r="Z694" s="70" t="e">
        <f t="shared" si="580"/>
        <v>#N/A</v>
      </c>
      <c r="AA694" s="70" t="str">
        <f t="shared" si="581"/>
        <v/>
      </c>
      <c r="AB694" s="70">
        <f t="shared" si="563"/>
        <v>1</v>
      </c>
      <c r="AC694" s="70" t="e">
        <f t="shared" si="582"/>
        <v>#N/A</v>
      </c>
    </row>
    <row r="695" spans="1:29" s="2" customFormat="1">
      <c r="A695" s="70"/>
      <c r="B695" s="70"/>
      <c r="C695" s="70" t="str">
        <f t="shared" si="564"/>
        <v/>
      </c>
      <c r="D695" s="70">
        <f t="shared" si="565"/>
        <v>1</v>
      </c>
      <c r="E695" s="70">
        <f t="shared" si="566"/>
        <v>0</v>
      </c>
      <c r="F695" s="70" t="str">
        <f t="shared" si="567"/>
        <v/>
      </c>
      <c r="G695" s="70">
        <f t="shared" si="556"/>
        <v>1</v>
      </c>
      <c r="H695" s="70">
        <f t="shared" si="568"/>
        <v>-3</v>
      </c>
      <c r="I695" s="70" t="str">
        <f t="shared" si="569"/>
        <v/>
      </c>
      <c r="J695" s="70">
        <f t="shared" si="557"/>
        <v>1</v>
      </c>
      <c r="K695" s="70">
        <f t="shared" si="570"/>
        <v>-2</v>
      </c>
      <c r="L695" s="70" t="str">
        <f t="shared" si="571"/>
        <v/>
      </c>
      <c r="M695" s="70">
        <f t="shared" si="558"/>
        <v>1</v>
      </c>
      <c r="N695" s="70" t="e">
        <f t="shared" si="572"/>
        <v>#N/A</v>
      </c>
      <c r="O695" s="70" t="str">
        <f t="shared" si="573"/>
        <v/>
      </c>
      <c r="P695" s="70">
        <f t="shared" si="559"/>
        <v>1</v>
      </c>
      <c r="Q695" s="70" t="e">
        <f t="shared" si="574"/>
        <v>#N/A</v>
      </c>
      <c r="R695" s="70" t="str">
        <f t="shared" si="575"/>
        <v/>
      </c>
      <c r="S695" s="70">
        <f t="shared" si="560"/>
        <v>1</v>
      </c>
      <c r="T695" s="70" t="e">
        <f t="shared" si="576"/>
        <v>#N/A</v>
      </c>
      <c r="U695" s="70" t="str">
        <f t="shared" si="577"/>
        <v/>
      </c>
      <c r="V695" s="70">
        <f t="shared" si="561"/>
        <v>1</v>
      </c>
      <c r="W695" s="70" t="e">
        <f t="shared" si="578"/>
        <v>#N/A</v>
      </c>
      <c r="X695" s="70" t="str">
        <f t="shared" si="579"/>
        <v/>
      </c>
      <c r="Y695" s="70">
        <f t="shared" si="562"/>
        <v>1</v>
      </c>
      <c r="Z695" s="70" t="e">
        <f t="shared" si="580"/>
        <v>#N/A</v>
      </c>
      <c r="AA695" s="70" t="str">
        <f t="shared" si="581"/>
        <v/>
      </c>
      <c r="AB695" s="70">
        <f t="shared" si="563"/>
        <v>1</v>
      </c>
      <c r="AC695" s="70" t="e">
        <f t="shared" si="582"/>
        <v>#N/A</v>
      </c>
    </row>
    <row r="696" spans="1:29" s="2" customFormat="1">
      <c r="A696" s="70"/>
      <c r="B696" s="70"/>
      <c r="C696" s="70" t="str">
        <f t="shared" si="564"/>
        <v/>
      </c>
      <c r="D696" s="70">
        <f t="shared" si="565"/>
        <v>1</v>
      </c>
      <c r="E696" s="70">
        <f t="shared" si="566"/>
        <v>0</v>
      </c>
      <c r="F696" s="70" t="str">
        <f t="shared" si="567"/>
        <v/>
      </c>
      <c r="G696" s="70">
        <f t="shared" si="556"/>
        <v>1</v>
      </c>
      <c r="H696" s="70">
        <f t="shared" si="568"/>
        <v>-3</v>
      </c>
      <c r="I696" s="70" t="str">
        <f t="shared" si="569"/>
        <v/>
      </c>
      <c r="J696" s="70">
        <f t="shared" si="557"/>
        <v>1</v>
      </c>
      <c r="K696" s="70">
        <f t="shared" si="570"/>
        <v>-2</v>
      </c>
      <c r="L696" s="70" t="str">
        <f t="shared" si="571"/>
        <v/>
      </c>
      <c r="M696" s="70">
        <f t="shared" si="558"/>
        <v>1</v>
      </c>
      <c r="N696" s="70" t="e">
        <f t="shared" si="572"/>
        <v>#N/A</v>
      </c>
      <c r="O696" s="70" t="str">
        <f t="shared" si="573"/>
        <v/>
      </c>
      <c r="P696" s="70">
        <f t="shared" si="559"/>
        <v>1</v>
      </c>
      <c r="Q696" s="70" t="e">
        <f t="shared" si="574"/>
        <v>#N/A</v>
      </c>
      <c r="R696" s="70" t="str">
        <f t="shared" si="575"/>
        <v/>
      </c>
      <c r="S696" s="70">
        <f t="shared" si="560"/>
        <v>1</v>
      </c>
      <c r="T696" s="70" t="e">
        <f t="shared" si="576"/>
        <v>#N/A</v>
      </c>
      <c r="U696" s="70" t="str">
        <f t="shared" si="577"/>
        <v/>
      </c>
      <c r="V696" s="70">
        <f t="shared" si="561"/>
        <v>1</v>
      </c>
      <c r="W696" s="70" t="e">
        <f t="shared" si="578"/>
        <v>#N/A</v>
      </c>
      <c r="X696" s="70" t="str">
        <f t="shared" si="579"/>
        <v/>
      </c>
      <c r="Y696" s="70">
        <f t="shared" si="562"/>
        <v>1</v>
      </c>
      <c r="Z696" s="70" t="e">
        <f t="shared" si="580"/>
        <v>#N/A</v>
      </c>
      <c r="AA696" s="70" t="str">
        <f t="shared" si="581"/>
        <v/>
      </c>
      <c r="AB696" s="70">
        <f t="shared" si="563"/>
        <v>1</v>
      </c>
      <c r="AC696" s="70" t="e">
        <f t="shared" si="582"/>
        <v>#N/A</v>
      </c>
    </row>
    <row r="697" spans="1:29" s="2" customFormat="1">
      <c r="A697" s="70"/>
    </row>
    <row r="698" spans="1:29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2:29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2:29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2:29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2:29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2:29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2:29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2:29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2:29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2:29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2:29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2:29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2:29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2:29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2:29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2:29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2:29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2:29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2:29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2:29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2:29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2:29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2:29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2:29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2:29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2:29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2:29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2:29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2:29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2:29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2:29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2:29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2:29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2:29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2:29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2:29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2:29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2:29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2:29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2:29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2:29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2:29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2:29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2:29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2:29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2:29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2:29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2:29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2:29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62" s="1" customFormat="1">
      <c r="A753" s="70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E753" s="5"/>
      <c r="AF753" s="5"/>
      <c r="AG753" s="5"/>
      <c r="AH753" s="5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5"/>
      <c r="BI753" s="7"/>
      <c r="BJ753" s="7"/>
    </row>
    <row r="754" spans="1:62" s="1" customFormat="1">
      <c r="A754" s="70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E754" s="5"/>
      <c r="AF754" s="5"/>
      <c r="AG754" s="5"/>
      <c r="AH754" s="5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5"/>
      <c r="BI754" s="7"/>
      <c r="BJ754" s="7"/>
    </row>
    <row r="755" spans="1:62" s="1" customFormat="1">
      <c r="A755" s="70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E755" s="5"/>
      <c r="AF755" s="5"/>
      <c r="AG755" s="5"/>
      <c r="AH755" s="5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5"/>
      <c r="BI755" s="7"/>
      <c r="BJ755" s="7"/>
    </row>
    <row r="756" spans="1:62" s="1" customFormat="1">
      <c r="A756" s="70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E756" s="5"/>
      <c r="AF756" s="5"/>
      <c r="AG756" s="5"/>
      <c r="AH756" s="5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5"/>
      <c r="BI756" s="7"/>
      <c r="BJ756" s="7"/>
    </row>
    <row r="757" spans="1:62" s="1" customFormat="1">
      <c r="A757" s="70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E757" s="5"/>
      <c r="AF757" s="5"/>
      <c r="AG757" s="5"/>
      <c r="AH757" s="5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5"/>
      <c r="BI757" s="7"/>
      <c r="BJ757" s="7"/>
    </row>
    <row r="758" spans="1:62" s="1" customFormat="1">
      <c r="A758" s="70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E758" s="5"/>
      <c r="AF758" s="5"/>
      <c r="AG758" s="5"/>
      <c r="AH758" s="5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5"/>
      <c r="BI758" s="7"/>
      <c r="BJ758" s="7"/>
    </row>
    <row r="759" spans="1:62" s="1" customFormat="1">
      <c r="A759" s="70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E759" s="5"/>
      <c r="AF759" s="5"/>
      <c r="AG759" s="5"/>
      <c r="AH759" s="5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5"/>
      <c r="BI759" s="7"/>
      <c r="BJ759" s="7"/>
    </row>
    <row r="760" spans="1:62" s="1" customFormat="1">
      <c r="A760" s="70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E760" s="5"/>
      <c r="AF760" s="5"/>
      <c r="AG760" s="5"/>
      <c r="AH760" s="5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5"/>
      <c r="BI760" s="7"/>
      <c r="BJ760" s="7"/>
    </row>
    <row r="761" spans="1:62" s="1" customFormat="1">
      <c r="A761" s="70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E761" s="5"/>
      <c r="AF761" s="5"/>
      <c r="AG761" s="5"/>
      <c r="AH761" s="5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5"/>
      <c r="BI761" s="7"/>
      <c r="BJ761" s="7"/>
    </row>
    <row r="762" spans="1:62" s="1" customFormat="1">
      <c r="A762" s="70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E762" s="5"/>
      <c r="AF762" s="5"/>
      <c r="AG762" s="5"/>
      <c r="AH762" s="5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5"/>
      <c r="BI762" s="7"/>
      <c r="BJ762" s="7"/>
    </row>
    <row r="763" spans="1:62" s="1" customFormat="1">
      <c r="A763" s="70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E763" s="5"/>
      <c r="AF763" s="5"/>
      <c r="AG763" s="5"/>
      <c r="AH763" s="5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5"/>
      <c r="BI763" s="7"/>
      <c r="BJ763" s="7"/>
    </row>
    <row r="764" spans="1:62" s="1" customFormat="1">
      <c r="A764" s="70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E764" s="5"/>
      <c r="AF764" s="5"/>
      <c r="AG764" s="5"/>
      <c r="AH764" s="5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5"/>
      <c r="BI764" s="7"/>
      <c r="BJ764" s="7"/>
    </row>
    <row r="765" spans="1:62" s="1" customFormat="1">
      <c r="A765" s="70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E765" s="5"/>
      <c r="AF765" s="5"/>
      <c r="AG765" s="5"/>
      <c r="AH765" s="5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5"/>
      <c r="BI765" s="7"/>
      <c r="BJ765" s="7"/>
    </row>
    <row r="766" spans="1:62" s="1" customFormat="1">
      <c r="A766" s="70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E766" s="5"/>
      <c r="AF766" s="5"/>
      <c r="AG766" s="5"/>
      <c r="AH766" s="5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5"/>
      <c r="BI766" s="7"/>
      <c r="BJ766" s="7"/>
    </row>
    <row r="767" spans="1:62" s="1" customFormat="1">
      <c r="A767" s="70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E767" s="5"/>
      <c r="AF767" s="5"/>
      <c r="AG767" s="5"/>
      <c r="AH767" s="5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5"/>
      <c r="BI767" s="7"/>
      <c r="BJ767" s="7"/>
    </row>
    <row r="768" spans="1:62" s="1" customFormat="1">
      <c r="A768" s="70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E768" s="5"/>
      <c r="AF768" s="5"/>
      <c r="AG768" s="5"/>
      <c r="AH768" s="5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5"/>
      <c r="BI768" s="7"/>
      <c r="BJ768" s="7"/>
    </row>
    <row r="769" spans="1:62" s="1" customFormat="1">
      <c r="A769" s="70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E769" s="5"/>
      <c r="AF769" s="5"/>
      <c r="AG769" s="5"/>
      <c r="AH769" s="5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5"/>
      <c r="BI769" s="7"/>
      <c r="BJ769" s="7"/>
    </row>
    <row r="770" spans="1:62" s="1" customFormat="1">
      <c r="A770" s="70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E770" s="5"/>
      <c r="AF770" s="5"/>
      <c r="AG770" s="5"/>
      <c r="AH770" s="5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5"/>
      <c r="BI770" s="7"/>
      <c r="BJ770" s="7"/>
    </row>
    <row r="771" spans="1:62" s="1" customFormat="1">
      <c r="A771" s="70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E771" s="5"/>
      <c r="AF771" s="5"/>
      <c r="AG771" s="5"/>
      <c r="AH771" s="5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5"/>
      <c r="BI771" s="7"/>
      <c r="BJ771" s="7"/>
    </row>
    <row r="772" spans="1:62" s="1" customFormat="1">
      <c r="A772" s="70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E772" s="5"/>
      <c r="AF772" s="5"/>
      <c r="AG772" s="5"/>
      <c r="AH772" s="5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5"/>
      <c r="BI772" s="7"/>
      <c r="BJ772" s="7"/>
    </row>
    <row r="773" spans="1:62" s="1" customFormat="1">
      <c r="A773" s="70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E773" s="5"/>
      <c r="AF773" s="5"/>
      <c r="AG773" s="5"/>
      <c r="AH773" s="5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5"/>
      <c r="BI773" s="7"/>
      <c r="BJ773" s="7"/>
    </row>
    <row r="774" spans="1:62" s="1" customFormat="1">
      <c r="A774" s="70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E774" s="5"/>
      <c r="AF774" s="5"/>
      <c r="AG774" s="5"/>
      <c r="AH774" s="5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5"/>
      <c r="BI774" s="7"/>
      <c r="BJ774" s="7"/>
    </row>
    <row r="775" spans="1:62" s="1" customFormat="1">
      <c r="A775" s="70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E775" s="5"/>
      <c r="AF775" s="5"/>
      <c r="AG775" s="5"/>
      <c r="AH775" s="5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5"/>
      <c r="BI775" s="7"/>
      <c r="BJ775" s="7"/>
    </row>
    <row r="776" spans="1:62" s="1" customFormat="1">
      <c r="A776" s="70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E776" s="5"/>
      <c r="AF776" s="5"/>
      <c r="AG776" s="5"/>
      <c r="AH776" s="5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5"/>
      <c r="BI776" s="7"/>
      <c r="BJ776" s="7"/>
    </row>
    <row r="777" spans="1:62" s="1" customFormat="1">
      <c r="A777" s="70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E777" s="5"/>
      <c r="AF777" s="5"/>
      <c r="AG777" s="5"/>
      <c r="AH777" s="5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5"/>
      <c r="BI777" s="7"/>
      <c r="BJ777" s="7"/>
    </row>
    <row r="778" spans="1:62" s="1" customFormat="1">
      <c r="A778" s="70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E778" s="5"/>
      <c r="AF778" s="5"/>
      <c r="AG778" s="5"/>
      <c r="AH778" s="5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5"/>
      <c r="BI778" s="7"/>
      <c r="BJ778" s="7"/>
    </row>
    <row r="779" spans="1:62" s="1" customFormat="1">
      <c r="A779" s="70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E779" s="5"/>
      <c r="AF779" s="5"/>
      <c r="AG779" s="5"/>
      <c r="AH779" s="5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5"/>
      <c r="BI779" s="7"/>
      <c r="BJ779" s="7"/>
    </row>
    <row r="780" spans="1:62" s="1" customFormat="1">
      <c r="A780" s="70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E780" s="5"/>
      <c r="AF780" s="5"/>
      <c r="AG780" s="5"/>
      <c r="AH780" s="5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5"/>
      <c r="BI780" s="7"/>
      <c r="BJ780" s="7"/>
    </row>
    <row r="781" spans="1:62" s="1" customFormat="1">
      <c r="A781" s="70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E781" s="5"/>
      <c r="AF781" s="5"/>
      <c r="AG781" s="5"/>
      <c r="AH781" s="5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5"/>
      <c r="BI781" s="7"/>
      <c r="BJ781" s="7"/>
    </row>
    <row r="782" spans="1:62" s="1" customFormat="1">
      <c r="A782" s="70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E782" s="5"/>
      <c r="AF782" s="5"/>
      <c r="AG782" s="5"/>
      <c r="AH782" s="5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5"/>
      <c r="BI782" s="7"/>
      <c r="BJ782" s="7"/>
    </row>
    <row r="783" spans="1:62" s="1" customFormat="1">
      <c r="A783" s="70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E783" s="5"/>
      <c r="AF783" s="5"/>
      <c r="AG783" s="5"/>
      <c r="AH783" s="5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5"/>
      <c r="BI783" s="7"/>
      <c r="BJ783" s="7"/>
    </row>
    <row r="784" spans="1:62" s="1" customFormat="1">
      <c r="A784" s="70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E784" s="5"/>
      <c r="AF784" s="5"/>
      <c r="AG784" s="5"/>
      <c r="AH784" s="5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5"/>
      <c r="BI784" s="7"/>
      <c r="BJ784" s="7"/>
    </row>
    <row r="785" spans="1:62" s="1" customFormat="1">
      <c r="A785" s="70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E785" s="5"/>
      <c r="AF785" s="5"/>
      <c r="AG785" s="5"/>
      <c r="AH785" s="5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5"/>
      <c r="BI785" s="7"/>
      <c r="BJ785" s="7"/>
    </row>
    <row r="786" spans="1:62" s="1" customFormat="1">
      <c r="A786" s="70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E786" s="5"/>
      <c r="AF786" s="5"/>
      <c r="AG786" s="5"/>
      <c r="AH786" s="5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5"/>
      <c r="BI786" s="7"/>
      <c r="BJ786" s="7"/>
    </row>
    <row r="787" spans="1:62" s="1" customFormat="1">
      <c r="A787" s="70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E787" s="5"/>
      <c r="AF787" s="5"/>
      <c r="AG787" s="5"/>
      <c r="AH787" s="5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5"/>
      <c r="BI787" s="7"/>
      <c r="BJ787" s="7"/>
    </row>
    <row r="788" spans="1:62" s="1" customFormat="1">
      <c r="A788" s="70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E788" s="5"/>
      <c r="AF788" s="5"/>
      <c r="AG788" s="5"/>
      <c r="AH788" s="5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5"/>
      <c r="BI788" s="7"/>
      <c r="BJ788" s="7"/>
    </row>
    <row r="789" spans="1:62" s="1" customFormat="1">
      <c r="A789" s="70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E789" s="5"/>
      <c r="AF789" s="5"/>
      <c r="AG789" s="5"/>
      <c r="AH789" s="5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5"/>
      <c r="BI789" s="7"/>
      <c r="BJ789" s="7"/>
    </row>
    <row r="790" spans="1:62" s="1" customFormat="1">
      <c r="A790" s="70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E790" s="5"/>
      <c r="AF790" s="5"/>
      <c r="AG790" s="5"/>
      <c r="AH790" s="5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5"/>
      <c r="BI790" s="7"/>
      <c r="BJ790" s="7"/>
    </row>
    <row r="791" spans="1:62" s="1" customFormat="1">
      <c r="A791" s="70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E791" s="5"/>
      <c r="AF791" s="5"/>
      <c r="AG791" s="5"/>
      <c r="AH791" s="5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5"/>
      <c r="BI791" s="7"/>
      <c r="BJ791" s="7"/>
    </row>
    <row r="792" spans="1:62" s="1" customFormat="1">
      <c r="A792" s="70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E792" s="5"/>
      <c r="AF792" s="5"/>
      <c r="AG792" s="5"/>
      <c r="AH792" s="5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5"/>
      <c r="BI792" s="7"/>
      <c r="BJ792" s="7"/>
    </row>
    <row r="793" spans="1:62" s="1" customFormat="1">
      <c r="A793" s="70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E793" s="5"/>
      <c r="AF793" s="5"/>
      <c r="AG793" s="5"/>
      <c r="AH793" s="5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5"/>
      <c r="BI793" s="7"/>
      <c r="BJ793" s="7"/>
    </row>
    <row r="794" spans="1:62" s="1" customFormat="1">
      <c r="A794" s="70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E794" s="5"/>
      <c r="AF794" s="5"/>
      <c r="AG794" s="5"/>
      <c r="AH794" s="5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5"/>
      <c r="BI794" s="7"/>
      <c r="BJ794" s="7"/>
    </row>
    <row r="795" spans="1:62" s="1" customFormat="1">
      <c r="A795" s="70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E795" s="5"/>
      <c r="AF795" s="5"/>
      <c r="AG795" s="5"/>
      <c r="AH795" s="5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5"/>
      <c r="BI795" s="7"/>
      <c r="BJ795" s="7"/>
    </row>
    <row r="796" spans="1:62" s="1" customFormat="1">
      <c r="A796" s="70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E796" s="5"/>
      <c r="AF796" s="5"/>
      <c r="AG796" s="5"/>
      <c r="AH796" s="5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5"/>
      <c r="BI796" s="7"/>
      <c r="BJ796" s="7"/>
    </row>
    <row r="797" spans="1:62" s="1" customFormat="1">
      <c r="A797" s="70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E797" s="5"/>
      <c r="AF797" s="5"/>
      <c r="AG797" s="5"/>
      <c r="AH797" s="5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5"/>
      <c r="BI797" s="7"/>
      <c r="BJ797" s="7"/>
    </row>
    <row r="798" spans="1:62" s="1" customFormat="1">
      <c r="A798" s="70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E798" s="5"/>
      <c r="AF798" s="5"/>
      <c r="AG798" s="5"/>
      <c r="AH798" s="5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5"/>
      <c r="BI798" s="7"/>
      <c r="BJ798" s="7"/>
    </row>
    <row r="799" spans="1:62" s="1" customFormat="1">
      <c r="A799" s="70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E799" s="5"/>
      <c r="AF799" s="5"/>
      <c r="AG799" s="5"/>
      <c r="AH799" s="5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5"/>
      <c r="BI799" s="7"/>
      <c r="BJ799" s="7"/>
    </row>
    <row r="800" spans="1:62" s="1" customFormat="1">
      <c r="A800" s="70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E800" s="5"/>
      <c r="AF800" s="5"/>
      <c r="AG800" s="5"/>
      <c r="AH800" s="5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5"/>
      <c r="BI800" s="7"/>
      <c r="BJ800" s="7"/>
    </row>
    <row r="801" spans="1:62" s="1" customFormat="1">
      <c r="A801" s="70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E801" s="5"/>
      <c r="AF801" s="5"/>
      <c r="AG801" s="5"/>
      <c r="AH801" s="5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5"/>
      <c r="BI801" s="7"/>
      <c r="BJ801" s="7"/>
    </row>
    <row r="802" spans="1:62" s="1" customFormat="1">
      <c r="A802" s="70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E802" s="5"/>
      <c r="AF802" s="5"/>
      <c r="AG802" s="5"/>
      <c r="AH802" s="5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5"/>
      <c r="BI802" s="7"/>
      <c r="BJ802" s="7"/>
    </row>
    <row r="803" spans="1:62" s="1" customFormat="1">
      <c r="A803" s="70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E803" s="5"/>
      <c r="AF803" s="5"/>
      <c r="AG803" s="5"/>
      <c r="AH803" s="5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5"/>
      <c r="BI803" s="7"/>
      <c r="BJ803" s="7"/>
    </row>
    <row r="804" spans="1:62" s="1" customFormat="1">
      <c r="A804" s="70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E804" s="5"/>
      <c r="AF804" s="5"/>
      <c r="AG804" s="5"/>
      <c r="AH804" s="5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5"/>
      <c r="BI804" s="7"/>
      <c r="BJ804" s="7"/>
    </row>
    <row r="805" spans="1:62" s="1" customFormat="1">
      <c r="A805" s="70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E805" s="5"/>
      <c r="AF805" s="5"/>
      <c r="AG805" s="5"/>
      <c r="AH805" s="5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5"/>
      <c r="BI805" s="7"/>
      <c r="BJ805" s="7"/>
    </row>
    <row r="806" spans="1:62" s="1" customFormat="1">
      <c r="A806" s="70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E806" s="5"/>
      <c r="AF806" s="5"/>
      <c r="AG806" s="5"/>
      <c r="AH806" s="5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5"/>
      <c r="BI806" s="7"/>
      <c r="BJ806" s="7"/>
    </row>
    <row r="807" spans="1:62" s="1" customFormat="1">
      <c r="A807" s="70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E807" s="5"/>
      <c r="AF807" s="5"/>
      <c r="AG807" s="5"/>
      <c r="AH807" s="5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5"/>
      <c r="BI807" s="7"/>
      <c r="BJ807" s="7"/>
    </row>
    <row r="808" spans="1:62" s="1" customFormat="1">
      <c r="A808" s="70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E808" s="5"/>
      <c r="AF808" s="5"/>
      <c r="AG808" s="5"/>
      <c r="AH808" s="5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5"/>
      <c r="BI808" s="7"/>
      <c r="BJ808" s="7"/>
    </row>
    <row r="809" spans="1:62" s="1" customFormat="1">
      <c r="A809" s="70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E809" s="5"/>
      <c r="AF809" s="5"/>
      <c r="AG809" s="5"/>
      <c r="AH809" s="5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5"/>
      <c r="BI809" s="7"/>
      <c r="BJ809" s="7"/>
    </row>
    <row r="810" spans="1:62" s="1" customFormat="1">
      <c r="A810" s="70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E810" s="5"/>
      <c r="AF810" s="5"/>
      <c r="AG810" s="5"/>
      <c r="AH810" s="5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5"/>
      <c r="BI810" s="7"/>
      <c r="BJ810" s="7"/>
    </row>
    <row r="811" spans="1:62" s="1" customFormat="1">
      <c r="A811" s="70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E811" s="5"/>
      <c r="AF811" s="5"/>
      <c r="AG811" s="5"/>
      <c r="AH811" s="5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5"/>
      <c r="BI811" s="7"/>
      <c r="BJ811" s="7"/>
    </row>
    <row r="812" spans="1:62" s="1" customFormat="1">
      <c r="A812" s="70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E812" s="5"/>
      <c r="AF812" s="5"/>
      <c r="AG812" s="5"/>
      <c r="AH812" s="5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5"/>
      <c r="BI812" s="7"/>
      <c r="BJ812" s="7"/>
    </row>
    <row r="813" spans="1:62" s="1" customFormat="1">
      <c r="A813" s="70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E813" s="5"/>
      <c r="AF813" s="5"/>
      <c r="AG813" s="5"/>
      <c r="AH813" s="5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5"/>
      <c r="BI813" s="7"/>
      <c r="BJ813" s="7"/>
    </row>
    <row r="814" spans="1:62" s="1" customFormat="1">
      <c r="A814" s="70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E814" s="5"/>
      <c r="AF814" s="5"/>
      <c r="AG814" s="5"/>
      <c r="AH814" s="5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5"/>
      <c r="BI814" s="7"/>
      <c r="BJ814" s="7"/>
    </row>
    <row r="815" spans="1:62" s="1" customFormat="1">
      <c r="A815" s="70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E815" s="5"/>
      <c r="AF815" s="5"/>
      <c r="AG815" s="5"/>
      <c r="AH815" s="5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5"/>
      <c r="BI815" s="7"/>
      <c r="BJ815" s="7"/>
    </row>
    <row r="816" spans="1:62" s="1" customFormat="1">
      <c r="A816" s="70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E816" s="5"/>
      <c r="AF816" s="5"/>
      <c r="AG816" s="5"/>
      <c r="AH816" s="5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5"/>
      <c r="BI816" s="7"/>
      <c r="BJ816" s="7"/>
    </row>
    <row r="817" spans="1:62" s="1" customFormat="1">
      <c r="A817" s="70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E817" s="5"/>
      <c r="AF817" s="5"/>
      <c r="AG817" s="5"/>
      <c r="AH817" s="5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5"/>
      <c r="BI817" s="7"/>
      <c r="BJ817" s="7"/>
    </row>
    <row r="818" spans="1:62" s="1" customFormat="1">
      <c r="A818" s="70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E818" s="5"/>
      <c r="AF818" s="5"/>
      <c r="AG818" s="5"/>
      <c r="AH818" s="5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5"/>
      <c r="BI818" s="7"/>
      <c r="BJ818" s="7"/>
    </row>
    <row r="819" spans="1:62" s="1" customFormat="1">
      <c r="A819" s="70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E819" s="5"/>
      <c r="AF819" s="5"/>
      <c r="AG819" s="5"/>
      <c r="AH819" s="5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5"/>
      <c r="BI819" s="7"/>
      <c r="BJ819" s="7"/>
    </row>
    <row r="820" spans="1:62" s="1" customFormat="1">
      <c r="A820" s="70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E820" s="5"/>
      <c r="AF820" s="5"/>
      <c r="AG820" s="5"/>
      <c r="AH820" s="5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5"/>
      <c r="BI820" s="7"/>
      <c r="BJ820" s="7"/>
    </row>
    <row r="821" spans="1:62" s="1" customFormat="1">
      <c r="A821" s="70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E821" s="5"/>
      <c r="AF821" s="5"/>
      <c r="AG821" s="5"/>
      <c r="AH821" s="5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5"/>
      <c r="BI821" s="7"/>
      <c r="BJ821" s="7"/>
    </row>
    <row r="822" spans="1:62" s="1" customFormat="1">
      <c r="A822" s="70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E822" s="5"/>
      <c r="AF822" s="5"/>
      <c r="AG822" s="5"/>
      <c r="AH822" s="5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5"/>
      <c r="BI822" s="7"/>
      <c r="BJ822" s="7"/>
    </row>
    <row r="823" spans="1:62" s="1" customFormat="1">
      <c r="A823" s="70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E823" s="5"/>
      <c r="AF823" s="5"/>
      <c r="AG823" s="5"/>
      <c r="AH823" s="5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5"/>
      <c r="BI823" s="7"/>
      <c r="BJ823" s="7"/>
    </row>
    <row r="824" spans="1:62" s="1" customFormat="1">
      <c r="A824" s="70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E824" s="5"/>
      <c r="AF824" s="5"/>
      <c r="AG824" s="5"/>
      <c r="AH824" s="5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5"/>
      <c r="BI824" s="7"/>
      <c r="BJ824" s="7"/>
    </row>
    <row r="825" spans="1:62" s="1" customFormat="1">
      <c r="A825" s="70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E825" s="5"/>
      <c r="AF825" s="5"/>
      <c r="AG825" s="5"/>
      <c r="AH825" s="5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5"/>
      <c r="BI825" s="7"/>
      <c r="BJ825" s="7"/>
    </row>
    <row r="826" spans="1:62" s="1" customFormat="1">
      <c r="A826" s="70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E826" s="5"/>
      <c r="AF826" s="5"/>
      <c r="AG826" s="5"/>
      <c r="AH826" s="5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5"/>
      <c r="BI826" s="7"/>
      <c r="BJ826" s="7"/>
    </row>
    <row r="827" spans="1:62" s="1" customFormat="1">
      <c r="A827" s="70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E827" s="5"/>
      <c r="AF827" s="5"/>
      <c r="AG827" s="5"/>
      <c r="AH827" s="5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5"/>
      <c r="BI827" s="7"/>
      <c r="BJ827" s="7"/>
    </row>
    <row r="828" spans="1:62" s="1" customFormat="1">
      <c r="A828" s="70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E828" s="5"/>
      <c r="AF828" s="5"/>
      <c r="AG828" s="5"/>
      <c r="AH828" s="5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5"/>
      <c r="BI828" s="7"/>
      <c r="BJ828" s="7"/>
    </row>
    <row r="829" spans="1:62" s="1" customFormat="1">
      <c r="A829" s="70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E829" s="5"/>
      <c r="AF829" s="5"/>
      <c r="AG829" s="5"/>
      <c r="AH829" s="5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5"/>
      <c r="BI829" s="7"/>
      <c r="BJ829" s="7"/>
    </row>
    <row r="830" spans="1:62" s="1" customFormat="1">
      <c r="A830" s="70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E830" s="5"/>
      <c r="AF830" s="5"/>
      <c r="AG830" s="5"/>
      <c r="AH830" s="5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5"/>
      <c r="BI830" s="7"/>
      <c r="BJ830" s="7"/>
    </row>
    <row r="831" spans="1:62" s="1" customFormat="1">
      <c r="A831" s="70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E831" s="5"/>
      <c r="AF831" s="5"/>
      <c r="AG831" s="5"/>
      <c r="AH831" s="5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5"/>
      <c r="BI831" s="7"/>
      <c r="BJ831" s="7"/>
    </row>
    <row r="832" spans="1:62" s="1" customFormat="1">
      <c r="A832" s="70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E832" s="5"/>
      <c r="AF832" s="5"/>
      <c r="AG832" s="5"/>
      <c r="AH832" s="5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5"/>
      <c r="BI832" s="7"/>
      <c r="BJ832" s="7"/>
    </row>
    <row r="833" spans="1:62" s="1" customFormat="1">
      <c r="A833" s="70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E833" s="5"/>
      <c r="AF833" s="5"/>
      <c r="AG833" s="5"/>
      <c r="AH833" s="5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5"/>
      <c r="BI833" s="7"/>
      <c r="BJ833" s="7"/>
    </row>
    <row r="834" spans="1:62" s="1" customFormat="1">
      <c r="A834" s="70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E834" s="5"/>
      <c r="AF834" s="5"/>
      <c r="AG834" s="5"/>
      <c r="AH834" s="5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5"/>
      <c r="BI834" s="7"/>
      <c r="BJ834" s="7"/>
    </row>
    <row r="835" spans="1:62" s="1" customFormat="1">
      <c r="A835" s="70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E835" s="5"/>
      <c r="AF835" s="5"/>
      <c r="AG835" s="5"/>
      <c r="AH835" s="5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5"/>
      <c r="BI835" s="7"/>
      <c r="BJ835" s="7"/>
    </row>
    <row r="836" spans="1:62" s="1" customFormat="1">
      <c r="A836" s="70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E836" s="5"/>
      <c r="AF836" s="5"/>
      <c r="AG836" s="5"/>
      <c r="AH836" s="5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5"/>
      <c r="BI836" s="7"/>
      <c r="BJ836" s="7"/>
    </row>
    <row r="837" spans="1:62" s="1" customFormat="1">
      <c r="A837" s="70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E837" s="5"/>
      <c r="AF837" s="5"/>
      <c r="AG837" s="5"/>
      <c r="AH837" s="5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5"/>
      <c r="BI837" s="7"/>
      <c r="BJ837" s="7"/>
    </row>
    <row r="838" spans="1:62" s="1" customFormat="1">
      <c r="A838" s="70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E838" s="5"/>
      <c r="AF838" s="5"/>
      <c r="AG838" s="5"/>
      <c r="AH838" s="5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5"/>
      <c r="BI838" s="7"/>
      <c r="BJ838" s="7"/>
    </row>
    <row r="839" spans="1:62" s="1" customFormat="1">
      <c r="A839" s="70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E839" s="5"/>
      <c r="AF839" s="5"/>
      <c r="AG839" s="5"/>
      <c r="AH839" s="5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5"/>
      <c r="BI839" s="7"/>
      <c r="BJ839" s="7"/>
    </row>
    <row r="840" spans="1:62" s="1" customFormat="1">
      <c r="A840" s="70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E840" s="5"/>
      <c r="AF840" s="5"/>
      <c r="AG840" s="5"/>
      <c r="AH840" s="5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5"/>
      <c r="BI840" s="7"/>
      <c r="BJ840" s="7"/>
    </row>
    <row r="841" spans="1:62" s="1" customFormat="1">
      <c r="A841" s="70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E841" s="5"/>
      <c r="AF841" s="5"/>
      <c r="AG841" s="5"/>
      <c r="AH841" s="5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5"/>
      <c r="BI841" s="7"/>
      <c r="BJ841" s="7"/>
    </row>
    <row r="842" spans="1:62" s="1" customFormat="1">
      <c r="A842" s="70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E842" s="5"/>
      <c r="AF842" s="5"/>
      <c r="AG842" s="5"/>
      <c r="AH842" s="5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5"/>
      <c r="BI842" s="7"/>
      <c r="BJ842" s="7"/>
    </row>
    <row r="843" spans="1:62" s="1" customFormat="1">
      <c r="A843" s="70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E843" s="5"/>
      <c r="AF843" s="5"/>
      <c r="AG843" s="5"/>
      <c r="AH843" s="5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5"/>
      <c r="BI843" s="7"/>
      <c r="BJ843" s="7"/>
    </row>
    <row r="844" spans="1:62" s="1" customFormat="1">
      <c r="A844" s="70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E844" s="5"/>
      <c r="AF844" s="5"/>
      <c r="AG844" s="5"/>
      <c r="AH844" s="5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5"/>
      <c r="BI844" s="7"/>
      <c r="BJ844" s="7"/>
    </row>
    <row r="845" spans="1:62" s="1" customFormat="1">
      <c r="A845" s="70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E845" s="5"/>
      <c r="AF845" s="5"/>
      <c r="AG845" s="5"/>
      <c r="AH845" s="5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5"/>
      <c r="BI845" s="7"/>
      <c r="BJ845" s="7"/>
    </row>
    <row r="846" spans="1:62" s="1" customFormat="1">
      <c r="A846" s="70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E846" s="5"/>
      <c r="AF846" s="5"/>
      <c r="AG846" s="5"/>
      <c r="AH846" s="5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5"/>
      <c r="BI846" s="7"/>
      <c r="BJ846" s="7"/>
    </row>
    <row r="847" spans="1:62" s="1" customFormat="1">
      <c r="A847" s="70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E847" s="5"/>
      <c r="AF847" s="5"/>
      <c r="AG847" s="5"/>
      <c r="AH847" s="5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5"/>
      <c r="BI847" s="7"/>
      <c r="BJ847" s="7"/>
    </row>
    <row r="848" spans="1:62" s="1" customFormat="1">
      <c r="A848" s="70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E848" s="5"/>
      <c r="AF848" s="5"/>
      <c r="AG848" s="5"/>
      <c r="AH848" s="5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5"/>
      <c r="BI848" s="7"/>
      <c r="BJ848" s="7"/>
    </row>
    <row r="849" spans="1:62" s="1" customFormat="1">
      <c r="A849" s="70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E849" s="5"/>
      <c r="AF849" s="5"/>
      <c r="AG849" s="5"/>
      <c r="AH849" s="5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5"/>
      <c r="BI849" s="7"/>
      <c r="BJ849" s="7"/>
    </row>
    <row r="850" spans="1:62" s="1" customFormat="1">
      <c r="A850" s="70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E850" s="5"/>
      <c r="AF850" s="5"/>
      <c r="AG850" s="5"/>
      <c r="AH850" s="5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5"/>
      <c r="BI850" s="7"/>
      <c r="BJ850" s="7"/>
    </row>
    <row r="851" spans="1:62" s="1" customFormat="1">
      <c r="A851" s="70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E851" s="5"/>
      <c r="AF851" s="5"/>
      <c r="AG851" s="5"/>
      <c r="AH851" s="5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5"/>
      <c r="BI851" s="7"/>
      <c r="BJ851" s="7"/>
    </row>
    <row r="852" spans="1:62" s="1" customFormat="1">
      <c r="A852" s="70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E852" s="5"/>
      <c r="AF852" s="5"/>
      <c r="AG852" s="5"/>
      <c r="AH852" s="5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5"/>
      <c r="BI852" s="7"/>
      <c r="BJ852" s="7"/>
    </row>
    <row r="853" spans="1:62" s="1" customFormat="1">
      <c r="A853" s="70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E853" s="5"/>
      <c r="AF853" s="5"/>
      <c r="AG853" s="5"/>
      <c r="AH853" s="5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5"/>
      <c r="BI853" s="7"/>
      <c r="BJ853" s="7"/>
    </row>
    <row r="854" spans="1:62" s="1" customFormat="1">
      <c r="A854" s="70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E854" s="5"/>
      <c r="AF854" s="5"/>
      <c r="AG854" s="5"/>
      <c r="AH854" s="5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5"/>
      <c r="BI854" s="7"/>
      <c r="BJ854" s="7"/>
    </row>
    <row r="855" spans="1:62" s="1" customFormat="1">
      <c r="A855" s="70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E855" s="5"/>
      <c r="AF855" s="5"/>
      <c r="AG855" s="5"/>
      <c r="AH855" s="5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5"/>
      <c r="BI855" s="7"/>
      <c r="BJ855" s="7"/>
    </row>
    <row r="856" spans="1:62" s="1" customFormat="1">
      <c r="A856" s="70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E856" s="5"/>
      <c r="AF856" s="5"/>
      <c r="AG856" s="5"/>
      <c r="AH856" s="5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5"/>
      <c r="BI856" s="7"/>
      <c r="BJ856" s="7"/>
    </row>
    <row r="857" spans="1:62" s="1" customFormat="1">
      <c r="A857" s="70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E857" s="5"/>
      <c r="AF857" s="5"/>
      <c r="AG857" s="5"/>
      <c r="AH857" s="5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5"/>
      <c r="BI857" s="7"/>
      <c r="BJ857" s="7"/>
    </row>
    <row r="858" spans="1:62" s="1" customFormat="1">
      <c r="A858" s="70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E858" s="5"/>
      <c r="AF858" s="5"/>
      <c r="AG858" s="5"/>
      <c r="AH858" s="5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5"/>
      <c r="BI858" s="7"/>
      <c r="BJ858" s="7"/>
    </row>
    <row r="859" spans="1:62" s="1" customFormat="1">
      <c r="A859" s="70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E859" s="5"/>
      <c r="AF859" s="5"/>
      <c r="AG859" s="5"/>
      <c r="AH859" s="5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5"/>
      <c r="BI859" s="7"/>
      <c r="BJ859" s="7"/>
    </row>
    <row r="860" spans="1:62" s="1" customFormat="1">
      <c r="A860" s="70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E860" s="5"/>
      <c r="AF860" s="5"/>
      <c r="AG860" s="5"/>
      <c r="AH860" s="5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5"/>
      <c r="BI860" s="7"/>
      <c r="BJ860" s="7"/>
    </row>
    <row r="861" spans="1:62" s="1" customFormat="1">
      <c r="A861" s="70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E861" s="5"/>
      <c r="AF861" s="5"/>
      <c r="AG861" s="5"/>
      <c r="AH861" s="5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5"/>
      <c r="BI861" s="7"/>
      <c r="BJ861" s="7"/>
    </row>
    <row r="862" spans="1:62" s="1" customFormat="1">
      <c r="A862" s="70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E862" s="5"/>
      <c r="AF862" s="5"/>
      <c r="AG862" s="5"/>
      <c r="AH862" s="5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5"/>
      <c r="BI862" s="7"/>
      <c r="BJ862" s="7"/>
    </row>
    <row r="863" spans="1:62" s="1" customFormat="1">
      <c r="A863" s="70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E863" s="5"/>
      <c r="AF863" s="5"/>
      <c r="AG863" s="5"/>
      <c r="AH863" s="5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5"/>
      <c r="BI863" s="7"/>
      <c r="BJ863" s="7"/>
    </row>
    <row r="864" spans="1:62" s="1" customFormat="1">
      <c r="A864" s="70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E864" s="5"/>
      <c r="AF864" s="5"/>
      <c r="AG864" s="5"/>
      <c r="AH864" s="5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5"/>
      <c r="BI864" s="7"/>
      <c r="BJ864" s="7"/>
    </row>
    <row r="865" spans="1:62" s="1" customFormat="1">
      <c r="A865" s="70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E865" s="5"/>
      <c r="AF865" s="5"/>
      <c r="AG865" s="5"/>
      <c r="AH865" s="5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5"/>
      <c r="BI865" s="7"/>
      <c r="BJ865" s="7"/>
    </row>
    <row r="866" spans="1:62" s="1" customFormat="1">
      <c r="A866" s="70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E866" s="5"/>
      <c r="AF866" s="5"/>
      <c r="AG866" s="5"/>
      <c r="AH866" s="5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5"/>
      <c r="BI866" s="7"/>
      <c r="BJ866" s="7"/>
    </row>
    <row r="867" spans="1:62" s="1" customFormat="1">
      <c r="A867" s="70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E867" s="5"/>
      <c r="AF867" s="5"/>
      <c r="AG867" s="5"/>
      <c r="AH867" s="5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5"/>
      <c r="BI867" s="7"/>
      <c r="BJ867" s="7"/>
    </row>
    <row r="868" spans="1:62" s="1" customFormat="1">
      <c r="A868" s="70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E868" s="5"/>
      <c r="AF868" s="5"/>
      <c r="AG868" s="5"/>
      <c r="AH868" s="5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5"/>
      <c r="BI868" s="7"/>
      <c r="BJ868" s="7"/>
    </row>
    <row r="869" spans="1:62" s="1" customFormat="1">
      <c r="A869" s="70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E869" s="5"/>
      <c r="AF869" s="5"/>
      <c r="AG869" s="5"/>
      <c r="AH869" s="5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5"/>
      <c r="BI869" s="7"/>
      <c r="BJ869" s="7"/>
    </row>
    <row r="870" spans="1:62" s="1" customFormat="1">
      <c r="A870" s="70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E870" s="5"/>
      <c r="AF870" s="5"/>
      <c r="AG870" s="5"/>
      <c r="AH870" s="5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5"/>
      <c r="BI870" s="7"/>
      <c r="BJ870" s="7"/>
    </row>
    <row r="871" spans="1:62" s="1" customFormat="1">
      <c r="A871" s="70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E871" s="5"/>
      <c r="AF871" s="5"/>
      <c r="AG871" s="5"/>
      <c r="AH871" s="5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5"/>
      <c r="BI871" s="7"/>
      <c r="BJ871" s="7"/>
    </row>
    <row r="872" spans="1:62" s="1" customFormat="1">
      <c r="A872" s="70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E872" s="5"/>
      <c r="AF872" s="5"/>
      <c r="AG872" s="5"/>
      <c r="AH872" s="5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5"/>
      <c r="BI872" s="7"/>
      <c r="BJ872" s="7"/>
    </row>
    <row r="873" spans="1:62" s="1" customFormat="1">
      <c r="A873" s="70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E873" s="5"/>
      <c r="AF873" s="5"/>
      <c r="AG873" s="5"/>
      <c r="AH873" s="5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5"/>
      <c r="BI873" s="7"/>
      <c r="BJ873" s="7"/>
    </row>
    <row r="874" spans="1:62" s="1" customFormat="1">
      <c r="A874" s="70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E874" s="5"/>
      <c r="AF874" s="5"/>
      <c r="AG874" s="5"/>
      <c r="AH874" s="5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5"/>
      <c r="BI874" s="7"/>
      <c r="BJ874" s="7"/>
    </row>
    <row r="875" spans="1:62" s="1" customFormat="1">
      <c r="A875" s="70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E875" s="5"/>
      <c r="AF875" s="5"/>
      <c r="AG875" s="5"/>
      <c r="AH875" s="5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5"/>
      <c r="BI875" s="7"/>
      <c r="BJ875" s="7"/>
    </row>
    <row r="876" spans="1:62" s="1" customFormat="1">
      <c r="A876" s="70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E876" s="5"/>
      <c r="AF876" s="5"/>
      <c r="AG876" s="5"/>
      <c r="AH876" s="5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5"/>
      <c r="BI876" s="7"/>
      <c r="BJ876" s="7"/>
    </row>
    <row r="877" spans="1:62" s="1" customFormat="1">
      <c r="A877" s="70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E877" s="5"/>
      <c r="AF877" s="5"/>
      <c r="AG877" s="5"/>
      <c r="AH877" s="5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5"/>
      <c r="BI877" s="7"/>
      <c r="BJ877" s="7"/>
    </row>
    <row r="878" spans="1:62" s="1" customFormat="1">
      <c r="A878" s="70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E878" s="5"/>
      <c r="AF878" s="5"/>
      <c r="AG878" s="5"/>
      <c r="AH878" s="5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5"/>
      <c r="BI878" s="7"/>
      <c r="BJ878" s="7"/>
    </row>
    <row r="879" spans="1:62" s="1" customFormat="1">
      <c r="A879" s="70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E879" s="5"/>
      <c r="AF879" s="5"/>
      <c r="AG879" s="5"/>
      <c r="AH879" s="5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5"/>
      <c r="BI879" s="7"/>
      <c r="BJ879" s="7"/>
    </row>
    <row r="880" spans="1:62" s="1" customFormat="1">
      <c r="A880" s="70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E880" s="5"/>
      <c r="AF880" s="5"/>
      <c r="AG880" s="5"/>
      <c r="AH880" s="5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5"/>
      <c r="BI880" s="7"/>
      <c r="BJ880" s="7"/>
    </row>
    <row r="881" spans="1:62" s="1" customFormat="1">
      <c r="A881" s="70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E881" s="5"/>
      <c r="AF881" s="5"/>
      <c r="AG881" s="5"/>
      <c r="AH881" s="5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5"/>
      <c r="BI881" s="7"/>
      <c r="BJ881" s="7"/>
    </row>
    <row r="882" spans="1:62" s="1" customFormat="1">
      <c r="A882" s="70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E882" s="5"/>
      <c r="AF882" s="5"/>
      <c r="AG882" s="5"/>
      <c r="AH882" s="5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5"/>
      <c r="BI882" s="7"/>
      <c r="BJ882" s="7"/>
    </row>
    <row r="883" spans="1:62" s="1" customFormat="1">
      <c r="A883" s="70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E883" s="5"/>
      <c r="AF883" s="5"/>
      <c r="AG883" s="5"/>
      <c r="AH883" s="5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5"/>
      <c r="BI883" s="7"/>
      <c r="BJ883" s="7"/>
    </row>
    <row r="884" spans="1:62" s="1" customFormat="1">
      <c r="A884" s="70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E884" s="5"/>
      <c r="AF884" s="5"/>
      <c r="AG884" s="5"/>
      <c r="AH884" s="5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5"/>
      <c r="BI884" s="7"/>
      <c r="BJ884" s="7"/>
    </row>
    <row r="885" spans="1:62" s="1" customFormat="1">
      <c r="A885" s="70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E885" s="5"/>
      <c r="AF885" s="5"/>
      <c r="AG885" s="5"/>
      <c r="AH885" s="5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5"/>
      <c r="BI885" s="7"/>
      <c r="BJ885" s="7"/>
    </row>
    <row r="886" spans="1:62" s="1" customFormat="1">
      <c r="A886" s="70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E886" s="5"/>
      <c r="AF886" s="5"/>
      <c r="AG886" s="5"/>
      <c r="AH886" s="5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5"/>
      <c r="BI886" s="7"/>
      <c r="BJ886" s="7"/>
    </row>
    <row r="887" spans="1:62" s="1" customFormat="1">
      <c r="A887" s="70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E887" s="5"/>
      <c r="AF887" s="5"/>
      <c r="AG887" s="5"/>
      <c r="AH887" s="5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5"/>
      <c r="BI887" s="7"/>
      <c r="BJ887" s="7"/>
    </row>
    <row r="888" spans="1:62" s="1" customFormat="1">
      <c r="A888" s="70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E888" s="5"/>
      <c r="AF888" s="5"/>
      <c r="AG888" s="5"/>
      <c r="AH888" s="5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5"/>
      <c r="BI888" s="7"/>
      <c r="BJ888" s="7"/>
    </row>
    <row r="889" spans="1:62" s="1" customFormat="1">
      <c r="A889" s="70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E889" s="5"/>
      <c r="AF889" s="5"/>
      <c r="AG889" s="5"/>
      <c r="AH889" s="5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5"/>
      <c r="BI889" s="7"/>
      <c r="BJ889" s="7"/>
    </row>
    <row r="890" spans="1:62" s="1" customFormat="1">
      <c r="A890" s="70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E890" s="5"/>
      <c r="AF890" s="5"/>
      <c r="AG890" s="5"/>
      <c r="AH890" s="5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5"/>
      <c r="BI890" s="7"/>
      <c r="BJ890" s="7"/>
    </row>
    <row r="891" spans="1:62" s="1" customFormat="1">
      <c r="A891" s="70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E891" s="5"/>
      <c r="AF891" s="5"/>
      <c r="AG891" s="5"/>
      <c r="AH891" s="5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5"/>
      <c r="BI891" s="7"/>
      <c r="BJ891" s="7"/>
    </row>
    <row r="892" spans="1:62" s="1" customFormat="1">
      <c r="A892" s="70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E892" s="5"/>
      <c r="AF892" s="5"/>
      <c r="AG892" s="5"/>
      <c r="AH892" s="5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5"/>
      <c r="BI892" s="7"/>
      <c r="BJ892" s="7"/>
    </row>
    <row r="893" spans="1:62" s="1" customFormat="1">
      <c r="A893" s="70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E893" s="5"/>
      <c r="AF893" s="5"/>
      <c r="AG893" s="5"/>
      <c r="AH893" s="5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5"/>
      <c r="BI893" s="7"/>
      <c r="BJ893" s="7"/>
    </row>
    <row r="894" spans="1:62" s="1" customFormat="1">
      <c r="A894" s="70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E894" s="5"/>
      <c r="AF894" s="5"/>
      <c r="AG894" s="5"/>
      <c r="AH894" s="5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5"/>
      <c r="BI894" s="7"/>
      <c r="BJ894" s="7"/>
    </row>
    <row r="895" spans="1:62" s="1" customFormat="1">
      <c r="A895" s="70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E895" s="5"/>
      <c r="AF895" s="5"/>
      <c r="AG895" s="5"/>
      <c r="AH895" s="5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5"/>
      <c r="BI895" s="7"/>
      <c r="BJ895" s="7"/>
    </row>
    <row r="896" spans="1:62" s="1" customFormat="1">
      <c r="A896" s="70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E896" s="5"/>
      <c r="AF896" s="5"/>
      <c r="AG896" s="5"/>
      <c r="AH896" s="5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5"/>
      <c r="BI896" s="7"/>
      <c r="BJ896" s="7"/>
    </row>
    <row r="897" spans="1:62" s="1" customFormat="1">
      <c r="A897" s="70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E897" s="5"/>
      <c r="AF897" s="5"/>
      <c r="AG897" s="5"/>
      <c r="AH897" s="5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5"/>
      <c r="BI897" s="7"/>
      <c r="BJ897" s="7"/>
    </row>
    <row r="898" spans="1:62" s="1" customFormat="1">
      <c r="A898" s="70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E898" s="5"/>
      <c r="AF898" s="5"/>
      <c r="AG898" s="5"/>
      <c r="AH898" s="5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5"/>
      <c r="BI898" s="7"/>
      <c r="BJ898" s="7"/>
    </row>
    <row r="899" spans="1:62" s="1" customFormat="1">
      <c r="A899" s="70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E899" s="5"/>
      <c r="AF899" s="5"/>
      <c r="AG899" s="5"/>
      <c r="AH899" s="5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5"/>
      <c r="BI899" s="7"/>
      <c r="BJ899" s="7"/>
    </row>
    <row r="900" spans="1:62" s="1" customFormat="1">
      <c r="A900" s="70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E900" s="5"/>
      <c r="AF900" s="5"/>
      <c r="AG900" s="5"/>
      <c r="AH900" s="5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5"/>
      <c r="BI900" s="7"/>
      <c r="BJ900" s="7"/>
    </row>
    <row r="901" spans="1:62" s="1" customFormat="1">
      <c r="A901" s="70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E901" s="5"/>
      <c r="AF901" s="5"/>
      <c r="AG901" s="5"/>
      <c r="AH901" s="5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5"/>
      <c r="BI901" s="7"/>
      <c r="BJ901" s="7"/>
    </row>
    <row r="902" spans="1:62" s="1" customFormat="1">
      <c r="A902" s="70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E902" s="5"/>
      <c r="AF902" s="5"/>
      <c r="AG902" s="5"/>
      <c r="AH902" s="5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5"/>
      <c r="BI902" s="7"/>
      <c r="BJ902" s="7"/>
    </row>
    <row r="903" spans="1:62" s="1" customFormat="1">
      <c r="A903" s="70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E903" s="5"/>
      <c r="AF903" s="5"/>
      <c r="AG903" s="5"/>
      <c r="AH903" s="5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5"/>
      <c r="BI903" s="7"/>
      <c r="BJ903" s="7"/>
    </row>
    <row r="904" spans="1:62" s="1" customFormat="1">
      <c r="A904" s="70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E904" s="5"/>
      <c r="AF904" s="5"/>
      <c r="AG904" s="5"/>
      <c r="AH904" s="5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5"/>
      <c r="BI904" s="7"/>
      <c r="BJ904" s="7"/>
    </row>
    <row r="905" spans="1:62" s="1" customFormat="1">
      <c r="A905" s="70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E905" s="5"/>
      <c r="AF905" s="5"/>
      <c r="AG905" s="5"/>
      <c r="AH905" s="5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5"/>
      <c r="BI905" s="7"/>
      <c r="BJ905" s="7"/>
    </row>
    <row r="906" spans="1:62" s="1" customFormat="1">
      <c r="A906" s="70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E906" s="5"/>
      <c r="AF906" s="5"/>
      <c r="AG906" s="5"/>
      <c r="AH906" s="5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5"/>
      <c r="BI906" s="7"/>
      <c r="BJ906" s="7"/>
    </row>
    <row r="907" spans="1:62" s="1" customFormat="1">
      <c r="A907" s="70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E907" s="5"/>
      <c r="AF907" s="5"/>
      <c r="AG907" s="5"/>
      <c r="AH907" s="5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5"/>
      <c r="BI907" s="7"/>
      <c r="BJ907" s="7"/>
    </row>
    <row r="908" spans="1:62" s="1" customFormat="1">
      <c r="A908" s="70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E908" s="5"/>
      <c r="AF908" s="5"/>
      <c r="AG908" s="5"/>
      <c r="AH908" s="5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5"/>
      <c r="BI908" s="7"/>
      <c r="BJ908" s="7"/>
    </row>
    <row r="909" spans="1:62" s="1" customFormat="1">
      <c r="A909" s="70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E909" s="5"/>
      <c r="AF909" s="5"/>
      <c r="AG909" s="5"/>
      <c r="AH909" s="5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5"/>
      <c r="BI909" s="7"/>
      <c r="BJ909" s="7"/>
    </row>
    <row r="910" spans="1:62" s="1" customFormat="1">
      <c r="A910" s="70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E910" s="5"/>
      <c r="AF910" s="5"/>
      <c r="AG910" s="5"/>
      <c r="AH910" s="5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5"/>
      <c r="BI910" s="7"/>
      <c r="BJ910" s="7"/>
    </row>
    <row r="911" spans="1:62" s="1" customFormat="1">
      <c r="A911" s="70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E911" s="5"/>
      <c r="AF911" s="5"/>
      <c r="AG911" s="5"/>
      <c r="AH911" s="5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5"/>
      <c r="BI911" s="7"/>
      <c r="BJ911" s="7"/>
    </row>
    <row r="912" spans="1:62" s="1" customFormat="1">
      <c r="A912" s="70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E912" s="5"/>
      <c r="AF912" s="5"/>
      <c r="AG912" s="5"/>
      <c r="AH912" s="5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5"/>
      <c r="BI912" s="7"/>
      <c r="BJ912" s="7"/>
    </row>
    <row r="913" spans="1:62" s="1" customFormat="1">
      <c r="A913" s="70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E913" s="5"/>
      <c r="AF913" s="5"/>
      <c r="AG913" s="5"/>
      <c r="AH913" s="5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5"/>
      <c r="BI913" s="7"/>
      <c r="BJ913" s="7"/>
    </row>
    <row r="914" spans="1:62" s="1" customFormat="1">
      <c r="A914" s="70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E914" s="5"/>
      <c r="AF914" s="5"/>
      <c r="AG914" s="5"/>
      <c r="AH914" s="5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5"/>
      <c r="BI914" s="7"/>
      <c r="BJ914" s="7"/>
    </row>
    <row r="915" spans="1:62" s="1" customFormat="1">
      <c r="A915" s="70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E915" s="5"/>
      <c r="AF915" s="5"/>
      <c r="AG915" s="5"/>
      <c r="AH915" s="5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5"/>
      <c r="BI915" s="7"/>
      <c r="BJ915" s="7"/>
    </row>
    <row r="916" spans="1:62" s="1" customFormat="1">
      <c r="A916" s="70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E916" s="5"/>
      <c r="AF916" s="5"/>
      <c r="AG916" s="5"/>
      <c r="AH916" s="5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5"/>
      <c r="BI916" s="7"/>
      <c r="BJ916" s="7"/>
    </row>
    <row r="917" spans="1:62" s="1" customFormat="1">
      <c r="A917" s="70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E917" s="5"/>
      <c r="AF917" s="5"/>
      <c r="AG917" s="5"/>
      <c r="AH917" s="5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5"/>
      <c r="BI917" s="7"/>
      <c r="BJ917" s="7"/>
    </row>
    <row r="918" spans="1:62" s="1" customFormat="1">
      <c r="A918" s="70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E918" s="5"/>
      <c r="AF918" s="5"/>
      <c r="AG918" s="5"/>
      <c r="AH918" s="5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5"/>
      <c r="BI918" s="7"/>
      <c r="BJ918" s="7"/>
    </row>
    <row r="919" spans="1:62" s="1" customFormat="1">
      <c r="A919" s="70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E919" s="5"/>
      <c r="AF919" s="5"/>
      <c r="AG919" s="5"/>
      <c r="AH919" s="5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5"/>
      <c r="BI919" s="7"/>
      <c r="BJ919" s="7"/>
    </row>
    <row r="920" spans="1:62" s="1" customFormat="1">
      <c r="A920" s="70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E920" s="5"/>
      <c r="AF920" s="5"/>
      <c r="AG920" s="5"/>
      <c r="AH920" s="5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5"/>
      <c r="BI920" s="7"/>
      <c r="BJ920" s="7"/>
    </row>
    <row r="921" spans="1:62" s="1" customFormat="1">
      <c r="A921" s="70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E921" s="5"/>
      <c r="AF921" s="5"/>
      <c r="AG921" s="5"/>
      <c r="AH921" s="5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5"/>
      <c r="BI921" s="7"/>
      <c r="BJ921" s="7"/>
    </row>
    <row r="922" spans="1:62" s="1" customFormat="1">
      <c r="A922" s="70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E922" s="5"/>
      <c r="AF922" s="5"/>
      <c r="AG922" s="5"/>
      <c r="AH922" s="5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5"/>
      <c r="BI922" s="7"/>
      <c r="BJ922" s="7"/>
    </row>
    <row r="923" spans="1:62" s="1" customFormat="1">
      <c r="A923" s="70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E923" s="5"/>
      <c r="AF923" s="5"/>
      <c r="AG923" s="5"/>
      <c r="AH923" s="5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5"/>
      <c r="BI923" s="7"/>
      <c r="BJ923" s="7"/>
    </row>
    <row r="924" spans="1:62" s="1" customFormat="1">
      <c r="A924" s="70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E924" s="5"/>
      <c r="AF924" s="5"/>
      <c r="AG924" s="5"/>
      <c r="AH924" s="5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5"/>
      <c r="BI924" s="7"/>
      <c r="BJ924" s="7"/>
    </row>
    <row r="925" spans="1:62" s="1" customFormat="1">
      <c r="A925" s="70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E925" s="5"/>
      <c r="AF925" s="5"/>
      <c r="AG925" s="5"/>
      <c r="AH925" s="5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5"/>
      <c r="BI925" s="7"/>
      <c r="BJ925" s="7"/>
    </row>
    <row r="926" spans="1:62" s="1" customFormat="1">
      <c r="A926" s="70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E926" s="5"/>
      <c r="AF926" s="5"/>
      <c r="AG926" s="5"/>
      <c r="AH926" s="5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5"/>
      <c r="BI926" s="7"/>
      <c r="BJ926" s="7"/>
    </row>
    <row r="927" spans="1:62" s="1" customFormat="1">
      <c r="A927" s="70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E927" s="5"/>
      <c r="AF927" s="5"/>
      <c r="AG927" s="5"/>
      <c r="AH927" s="5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5"/>
      <c r="BI927" s="7"/>
      <c r="BJ927" s="7"/>
    </row>
    <row r="928" spans="1:62" s="1" customFormat="1">
      <c r="A928" s="70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E928" s="5"/>
      <c r="AF928" s="5"/>
      <c r="AG928" s="5"/>
      <c r="AH928" s="5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5"/>
      <c r="BI928" s="7"/>
      <c r="BJ928" s="7"/>
    </row>
    <row r="929" spans="1:62" s="1" customFormat="1">
      <c r="A929" s="70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E929" s="5"/>
      <c r="AF929" s="5"/>
      <c r="AG929" s="5"/>
      <c r="AH929" s="5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5"/>
      <c r="BI929" s="7"/>
      <c r="BJ929" s="7"/>
    </row>
    <row r="930" spans="1:62" s="1" customFormat="1">
      <c r="A930" s="70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E930" s="5"/>
      <c r="AF930" s="5"/>
      <c r="AG930" s="5"/>
      <c r="AH930" s="5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5"/>
      <c r="BI930" s="7"/>
      <c r="BJ930" s="7"/>
    </row>
    <row r="931" spans="1:62" s="1" customFormat="1">
      <c r="A931" s="70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E931" s="5"/>
      <c r="AF931" s="5"/>
      <c r="AG931" s="5"/>
      <c r="AH931" s="5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5"/>
      <c r="BI931" s="7"/>
      <c r="BJ931" s="7"/>
    </row>
    <row r="932" spans="1:62" s="1" customFormat="1">
      <c r="A932" s="70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E932" s="5"/>
      <c r="AF932" s="5"/>
      <c r="AG932" s="5"/>
      <c r="AH932" s="5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5"/>
      <c r="BI932" s="7"/>
      <c r="BJ932" s="7"/>
    </row>
    <row r="933" spans="1:62" s="1" customFormat="1">
      <c r="A933" s="70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E933" s="5"/>
      <c r="AF933" s="5"/>
      <c r="AG933" s="5"/>
      <c r="AH933" s="5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5"/>
      <c r="BI933" s="7"/>
      <c r="BJ933" s="7"/>
    </row>
    <row r="934" spans="1:62" s="1" customFormat="1">
      <c r="A934" s="70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E934" s="5"/>
      <c r="AF934" s="5"/>
      <c r="AG934" s="5"/>
      <c r="AH934" s="5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5"/>
      <c r="BI934" s="7"/>
      <c r="BJ934" s="7"/>
    </row>
    <row r="935" spans="1:62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62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62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62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62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62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62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62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62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62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2:29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2:29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2:29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2:29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2:29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2:29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2:29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2:29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2:29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2:29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2:29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2:29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2:29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2:29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2:29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2:29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2:29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2:29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2:29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2:29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</sheetData>
  <sheetProtection formatCells="0" formatColumns="0" formatRows="0" insertColumns="0" insertRows="0" insertHyperlinks="0" deleteColumns="0" deleteRows="0" sort="0" autoFilter="0" pivotTables="0"/>
  <protectedRanges>
    <protectedRange sqref="AH1:XFD1048576 AE1:AG9 A1:A1048576 AD101:AD110 N35 G34:H42 M34:N34 O34:O35 I36:O42 I34:I35 J35:K35 P33:AD42 B690:B1048576 C698:AC1048576 C681:E681 AD681:AD1048576 D33:F33 C561:F561 I561 C682:C688 F681:F688 I681:I688 L681:L688 O681:O688 R681:R688 U681:U688 X681:X688 AA681:AA688 AE101:AG1048576 AF37:AG100 B101:B681 C139:I560 J139:AD680 C111:AD138 B1:AD32 G681:H696 J681:K696 M681:N696 P681:Q696 S681:T696 V681:W696 Y681:Z696 AB681:AC696 D682:E696 C562:I680 B46:AE100 C43:AD45 B36:F39 C40:F42 B40:B45" name="범위1"/>
    <protectedRange sqref="C103:AC110" name="범위2"/>
  </protectedRanges>
  <sortState ref="AH15:AH32">
    <sortCondition ref="AH15"/>
  </sortState>
  <dataConsolidate/>
  <mergeCells count="19">
    <mergeCell ref="O2:AD2"/>
    <mergeCell ref="D2:I2"/>
    <mergeCell ref="D3:F5"/>
    <mergeCell ref="G3:I5"/>
    <mergeCell ref="J3:L5"/>
    <mergeCell ref="AB3:AD5"/>
    <mergeCell ref="M3:O5"/>
    <mergeCell ref="P3:R5"/>
    <mergeCell ref="S3:U5"/>
    <mergeCell ref="V3:X5"/>
    <mergeCell ref="Y3:AA5"/>
    <mergeCell ref="B8:B16"/>
    <mergeCell ref="B5:B7"/>
    <mergeCell ref="Z18:AC18"/>
    <mergeCell ref="T58:AD59"/>
    <mergeCell ref="B36:R36"/>
    <mergeCell ref="T36:AD36"/>
    <mergeCell ref="B23:B32"/>
    <mergeCell ref="T46:AI47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AC17" evalError="1"/>
  </ignoredErrors>
  <drawing r:id="rId2"/>
  <legacyDrawing r:id="rId3"/>
  <controls>
    <mc:AlternateContent xmlns:mc="http://schemas.openxmlformats.org/markup-compatibility/2006">
      <mc:Choice Requires="x14">
        <control shapeId="1098" r:id="rId4" name="SpinButton4">
          <controlPr defaultSize="0" autoLine="0" r:id="rId5">
            <anchor moveWithCells="1">
              <from>
                <xdr:col>1</xdr:col>
                <xdr:colOff>1485900</xdr:colOff>
                <xdr:row>2</xdr:row>
                <xdr:rowOff>19050</xdr:rowOff>
              </from>
              <to>
                <xdr:col>2</xdr:col>
                <xdr:colOff>238125</xdr:colOff>
                <xdr:row>2</xdr:row>
                <xdr:rowOff>238125</xdr:rowOff>
              </to>
            </anchor>
          </controlPr>
        </control>
      </mc:Choice>
      <mc:Fallback>
        <control shapeId="1098" r:id="rId4" name="SpinButton4"/>
      </mc:Fallback>
    </mc:AlternateContent>
    <mc:AlternateContent xmlns:mc="http://schemas.openxmlformats.org/markup-compatibility/2006">
      <mc:Choice Requires="x14">
        <control shapeId="1089" r:id="rId6" name="SpinButton1">
          <controlPr defaultSize="0" autoLine="0" r:id="rId7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2</xdr:col>
                <xdr:colOff>285750</xdr:colOff>
                <xdr:row>20</xdr:row>
                <xdr:rowOff>0</xdr:rowOff>
              </to>
            </anchor>
          </controlPr>
        </control>
      </mc:Choice>
      <mc:Fallback>
        <control shapeId="1089" r:id="rId6" name="SpinButton1"/>
      </mc:Fallback>
    </mc:AlternateContent>
    <mc:AlternateContent xmlns:mc="http://schemas.openxmlformats.org/markup-compatibility/2006">
      <mc:Choice Requires="x14">
        <control shapeId="1093" r:id="rId8" name="SpinButton2">
          <controlPr defaultSize="0" autoLine="0" r:id="rId7">
            <anchor moveWithCells="1">
              <from>
                <xdr:col>2</xdr:col>
                <xdr:colOff>19050</xdr:colOff>
                <xdr:row>20</xdr:row>
                <xdr:rowOff>9525</xdr:rowOff>
              </from>
              <to>
                <xdr:col>2</xdr:col>
                <xdr:colOff>285750</xdr:colOff>
                <xdr:row>21</xdr:row>
                <xdr:rowOff>0</xdr:rowOff>
              </to>
            </anchor>
          </controlPr>
        </control>
      </mc:Choice>
      <mc:Fallback>
        <control shapeId="1093" r:id="rId8" name="SpinButton2"/>
      </mc:Fallback>
    </mc:AlternateContent>
    <mc:AlternateContent xmlns:mc="http://schemas.openxmlformats.org/markup-compatibility/2006">
      <mc:Choice Requires="x14">
        <control shapeId="1094" r:id="rId9" name="SpinButton3">
          <controlPr defaultSize="0" autoLine="0" r:id="rId5">
            <anchor moveWithCells="1">
              <from>
                <xdr:col>1</xdr:col>
                <xdr:colOff>1485900</xdr:colOff>
                <xdr:row>1</xdr:row>
                <xdr:rowOff>19050</xdr:rowOff>
              </from>
              <to>
                <xdr:col>2</xdr:col>
                <xdr:colOff>238125</xdr:colOff>
                <xdr:row>1</xdr:row>
                <xdr:rowOff>238125</xdr:rowOff>
              </to>
            </anchor>
          </controlPr>
        </control>
      </mc:Choice>
      <mc:Fallback>
        <control shapeId="1094" r:id="rId9" name="SpinButton3"/>
      </mc:Fallback>
    </mc:AlternateContent>
    <mc:AlternateContent xmlns:mc="http://schemas.openxmlformats.org/markup-compatibility/2006">
      <mc:Choice Requires="x14">
        <control shapeId="1025" r:id="rId10" name="Check Box 1">
          <controlPr defaultSize="0" autoFill="0" autoLine="0" autoPict="0">
            <anchor moveWithCells="1">
              <from>
                <xdr:col>3</xdr:col>
                <xdr:colOff>28575</xdr:colOff>
                <xdr:row>2</xdr:row>
                <xdr:rowOff>171450</xdr:rowOff>
              </from>
              <to>
                <xdr:col>6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1" name="Drop Down 2">
          <controlPr defaultSize="0" autoLine="0" autoPict="0" macro="[0]!Dropdown2_Change">
            <anchor moveWithCells="1">
              <from>
                <xdr:col>3</xdr:col>
                <xdr:colOff>9525</xdr:colOff>
                <xdr:row>6</xdr:row>
                <xdr:rowOff>9525</xdr:rowOff>
              </from>
              <to>
                <xdr:col>6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2" name="Drop Down 3">
          <controlPr defaultSize="0" autoLine="0" autoPict="0" macro="[0]!Dropdown3_Change">
            <anchor moveWithCells="1">
              <from>
                <xdr:col>6</xdr:col>
                <xdr:colOff>9525</xdr:colOff>
                <xdr:row>6</xdr:row>
                <xdr:rowOff>9525</xdr:rowOff>
              </from>
              <to>
                <xdr:col>9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Drop Down 4">
          <controlPr defaultSize="0" autoLine="0" autoPict="0" macro="[0]!Dropdown4_Change">
            <anchor moveWithCells="1">
              <from>
                <xdr:col>9</xdr:col>
                <xdr:colOff>9525</xdr:colOff>
                <xdr:row>6</xdr:row>
                <xdr:rowOff>9525</xdr:rowOff>
              </from>
              <to>
                <xdr:col>12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Drop Down 5">
          <controlPr defaultSize="0" autoLine="0" autoPict="0" macro="[0]!Dropdown5_Change">
            <anchor moveWithCells="1">
              <from>
                <xdr:col>12</xdr:col>
                <xdr:colOff>9525</xdr:colOff>
                <xdr:row>6</xdr:row>
                <xdr:rowOff>9525</xdr:rowOff>
              </from>
              <to>
                <xdr:col>15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Drop Down 6">
          <controlPr defaultSize="0" autoLine="0" autoPict="0" macro="[0]!Dropdown6_Change">
            <anchor moveWithCells="1">
              <from>
                <xdr:col>15</xdr:col>
                <xdr:colOff>9525</xdr:colOff>
                <xdr:row>6</xdr:row>
                <xdr:rowOff>9525</xdr:rowOff>
              </from>
              <to>
                <xdr:col>18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Drop Down 7">
          <controlPr defaultSize="0" autoLine="0" autoPict="0" macro="[0]!Dropdown7_Change">
            <anchor moveWithCells="1">
              <from>
                <xdr:col>18</xdr:col>
                <xdr:colOff>9525</xdr:colOff>
                <xdr:row>6</xdr:row>
                <xdr:rowOff>9525</xdr:rowOff>
              </from>
              <to>
                <xdr:col>21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7" name="Drop Down 8">
          <controlPr defaultSize="0" autoLine="0" autoPict="0" macro="[0]!Dropdown8_Change">
            <anchor moveWithCells="1">
              <from>
                <xdr:col>21</xdr:col>
                <xdr:colOff>9525</xdr:colOff>
                <xdr:row>6</xdr:row>
                <xdr:rowOff>9525</xdr:rowOff>
              </from>
              <to>
                <xdr:col>24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Drop Down 9">
          <controlPr defaultSize="0" autoLine="0" autoPict="0" macro="[0]!Dropdown9_Change">
            <anchor moveWithCells="1">
              <from>
                <xdr:col>24</xdr:col>
                <xdr:colOff>9525</xdr:colOff>
                <xdr:row>6</xdr:row>
                <xdr:rowOff>9525</xdr:rowOff>
              </from>
              <to>
                <xdr:col>27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Drop Down 10">
          <controlPr defaultSize="0" autoLine="0" autoPict="0" macro="[0]!Dropdown10_Change">
            <anchor moveWithCells="1">
              <from>
                <xdr:col>27</xdr:col>
                <xdr:colOff>9525</xdr:colOff>
                <xdr:row>6</xdr:row>
                <xdr:rowOff>9525</xdr:rowOff>
              </from>
              <to>
                <xdr:col>30</xdr:col>
                <xdr:colOff>0</xdr:colOff>
                <xdr:row>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20" name="Check Box 11">
          <controlPr defaultSize="0" autoFill="0" autoLine="0" autoPict="0">
            <anchor moveWithCells="1">
              <from>
                <xdr:col>6</xdr:col>
                <xdr:colOff>28575</xdr:colOff>
                <xdr:row>2</xdr:row>
                <xdr:rowOff>171450</xdr:rowOff>
              </from>
              <to>
                <xdr:col>9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21" name="Check Box 12">
          <controlPr defaultSize="0" autoFill="0" autoLine="0" autoPict="0">
            <anchor moveWithCells="1">
              <from>
                <xdr:col>9</xdr:col>
                <xdr:colOff>19050</xdr:colOff>
                <xdr:row>2</xdr:row>
                <xdr:rowOff>171450</xdr:rowOff>
              </from>
              <to>
                <xdr:col>12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22" name="Check Box 13">
          <controlPr defaultSize="0" autoFill="0" autoLine="0" autoPict="0">
            <anchor moveWithCells="1">
              <from>
                <xdr:col>12</xdr:col>
                <xdr:colOff>19050</xdr:colOff>
                <xdr:row>2</xdr:row>
                <xdr:rowOff>171450</xdr:rowOff>
              </from>
              <to>
                <xdr:col>15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23" name="Check Box 14">
          <controlPr defaultSize="0" autoFill="0" autoLine="0" autoPict="0">
            <anchor moveWithCells="1">
              <from>
                <xdr:col>15</xdr:col>
                <xdr:colOff>19050</xdr:colOff>
                <xdr:row>2</xdr:row>
                <xdr:rowOff>171450</xdr:rowOff>
              </from>
              <to>
                <xdr:col>18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24" name="Check Box 15">
          <controlPr defaultSize="0" autoFill="0" autoLine="0" autoPict="0">
            <anchor moveWithCells="1">
              <from>
                <xdr:col>18</xdr:col>
                <xdr:colOff>19050</xdr:colOff>
                <xdr:row>2</xdr:row>
                <xdr:rowOff>171450</xdr:rowOff>
              </from>
              <to>
                <xdr:col>21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25" name="Check Box 16">
          <controlPr defaultSize="0" autoFill="0" autoLine="0" autoPict="0">
            <anchor moveWithCells="1">
              <from>
                <xdr:col>21</xdr:col>
                <xdr:colOff>19050</xdr:colOff>
                <xdr:row>2</xdr:row>
                <xdr:rowOff>171450</xdr:rowOff>
              </from>
              <to>
                <xdr:col>24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6" name="Check Box 17">
          <controlPr defaultSize="0" autoFill="0" autoLine="0" autoPict="0">
            <anchor moveWithCells="1">
              <from>
                <xdr:col>24</xdr:col>
                <xdr:colOff>19050</xdr:colOff>
                <xdr:row>2</xdr:row>
                <xdr:rowOff>171450</xdr:rowOff>
              </from>
              <to>
                <xdr:col>27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7" name="Check Box 18">
          <controlPr defaultSize="0" autoFill="0" autoLine="0" autoPict="0">
            <anchor moveWithCells="1">
              <from>
                <xdr:col>27</xdr:col>
                <xdr:colOff>19050</xdr:colOff>
                <xdr:row>2</xdr:row>
                <xdr:rowOff>171450</xdr:rowOff>
              </from>
              <to>
                <xdr:col>30</xdr:col>
                <xdr:colOff>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8" name="Check Box 21">
          <controlPr defaultSize="0" autoFill="0" autoLine="0" autoPict="0">
            <anchor moveWithCells="1">
              <from>
                <xdr:col>6</xdr:col>
                <xdr:colOff>28575</xdr:colOff>
                <xdr:row>1</xdr:row>
                <xdr:rowOff>238125</xdr:rowOff>
              </from>
              <to>
                <xdr:col>8</xdr:col>
                <xdr:colOff>304800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9" name="Check Box 23">
          <controlPr defaultSize="0" autoFill="0" autoLine="0" autoPict="0">
            <anchor moveWithCells="1">
              <from>
                <xdr:col>9</xdr:col>
                <xdr:colOff>19050</xdr:colOff>
                <xdr:row>1</xdr:row>
                <xdr:rowOff>238125</xdr:rowOff>
              </from>
              <to>
                <xdr:col>11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30" name="Check Box 24">
          <controlPr defaultSize="0" autoFill="0" autoLine="0" autoPict="0">
            <anchor moveWithCells="1">
              <from>
                <xdr:col>12</xdr:col>
                <xdr:colOff>19050</xdr:colOff>
                <xdr:row>1</xdr:row>
                <xdr:rowOff>238125</xdr:rowOff>
              </from>
              <to>
                <xdr:col>14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31" name="Check Box 25">
          <controlPr defaultSize="0" autoFill="0" autoLine="0" autoPict="0">
            <anchor moveWithCells="1">
              <from>
                <xdr:col>15</xdr:col>
                <xdr:colOff>19050</xdr:colOff>
                <xdr:row>1</xdr:row>
                <xdr:rowOff>238125</xdr:rowOff>
              </from>
              <to>
                <xdr:col>17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32" name="Check Box 26">
          <controlPr defaultSize="0" autoFill="0" autoLine="0" autoPict="0">
            <anchor moveWithCells="1">
              <from>
                <xdr:col>18</xdr:col>
                <xdr:colOff>19050</xdr:colOff>
                <xdr:row>1</xdr:row>
                <xdr:rowOff>238125</xdr:rowOff>
              </from>
              <to>
                <xdr:col>20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33" name="Check Box 27">
          <controlPr defaultSize="0" autoFill="0" autoLine="0" autoPict="0">
            <anchor moveWithCells="1">
              <from>
                <xdr:col>21</xdr:col>
                <xdr:colOff>19050</xdr:colOff>
                <xdr:row>1</xdr:row>
                <xdr:rowOff>238125</xdr:rowOff>
              </from>
              <to>
                <xdr:col>23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34" name="Check Box 28">
          <controlPr defaultSize="0" autoFill="0" autoLine="0" autoPict="0">
            <anchor moveWithCells="1">
              <from>
                <xdr:col>24</xdr:col>
                <xdr:colOff>19050</xdr:colOff>
                <xdr:row>1</xdr:row>
                <xdr:rowOff>238125</xdr:rowOff>
              </from>
              <to>
                <xdr:col>26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35" name="Check Box 29">
          <controlPr defaultSize="0" autoFill="0" autoLine="0" autoPict="0">
            <anchor moveWithCells="1">
              <from>
                <xdr:col>27</xdr:col>
                <xdr:colOff>19050</xdr:colOff>
                <xdr:row>1</xdr:row>
                <xdr:rowOff>238125</xdr:rowOff>
              </from>
              <to>
                <xdr:col>29</xdr:col>
                <xdr:colOff>295275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36" name="Check Box 30">
          <controlPr defaultSize="0" autoFill="0" autoLine="0" autoPict="0">
            <anchor moveWithCells="1">
              <from>
                <xdr:col>3</xdr:col>
                <xdr:colOff>28575</xdr:colOff>
                <xdr:row>1</xdr:row>
                <xdr:rowOff>238125</xdr:rowOff>
              </from>
              <to>
                <xdr:col>5</xdr:col>
                <xdr:colOff>304800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37" name="Check Box 33">
          <controlPr defaultSize="0" autoFill="0" autoLine="0" autoPict="0">
            <anchor moveWithCells="1">
              <from>
                <xdr:col>3</xdr:col>
                <xdr:colOff>28575</xdr:colOff>
                <xdr:row>3</xdr:row>
                <xdr:rowOff>104775</xdr:rowOff>
              </from>
              <to>
                <xdr:col>6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38" name="Check Box 34">
          <controlPr defaultSize="0" autoFill="0" autoLine="0" autoPict="0">
            <anchor moveWithCells="1">
              <from>
                <xdr:col>1</xdr:col>
                <xdr:colOff>76200</xdr:colOff>
                <xdr:row>7</xdr:row>
                <xdr:rowOff>95250</xdr:rowOff>
              </from>
              <to>
                <xdr:col>1</xdr:col>
                <xdr:colOff>457200</xdr:colOff>
                <xdr:row>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39" name="Check Box 35">
          <controlPr defaultSize="0" autoFill="0" autoLine="0" autoPict="0">
            <anchor moveWithCells="1">
              <from>
                <xdr:col>1</xdr:col>
                <xdr:colOff>628650</xdr:colOff>
                <xdr:row>7</xdr:row>
                <xdr:rowOff>95250</xdr:rowOff>
              </from>
              <to>
                <xdr:col>1</xdr:col>
                <xdr:colOff>1009650</xdr:colOff>
                <xdr:row>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40" name="Check Box 36">
          <controlPr defaultSize="0" autoFill="0" autoLine="0" autoPict="0">
            <anchor moveWithCells="1">
              <from>
                <xdr:col>1</xdr:col>
                <xdr:colOff>1181100</xdr:colOff>
                <xdr:row>7</xdr:row>
                <xdr:rowOff>95250</xdr:rowOff>
              </from>
              <to>
                <xdr:col>1</xdr:col>
                <xdr:colOff>1552575</xdr:colOff>
                <xdr:row>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41" name="Check Box 37">
          <controlPr defaultSize="0" autoFill="0" autoLine="0" autoPict="0">
            <anchor moveWithCells="1">
              <from>
                <xdr:col>1</xdr:col>
                <xdr:colOff>1181100</xdr:colOff>
                <xdr:row>10</xdr:row>
                <xdr:rowOff>85725</xdr:rowOff>
              </from>
              <to>
                <xdr:col>1</xdr:col>
                <xdr:colOff>1552575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42" name="Check Box 38">
          <controlPr defaultSize="0" autoFill="0" autoLine="0" autoPict="0">
            <anchor moveWithCells="1">
              <from>
                <xdr:col>1</xdr:col>
                <xdr:colOff>628650</xdr:colOff>
                <xdr:row>10</xdr:row>
                <xdr:rowOff>85725</xdr:rowOff>
              </from>
              <to>
                <xdr:col>1</xdr:col>
                <xdr:colOff>1009650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43" name="Check Box 39">
          <controlPr defaultSize="0" autoFill="0" autoLine="0" autoPict="0">
            <anchor moveWithCells="1">
              <from>
                <xdr:col>1</xdr:col>
                <xdr:colOff>66675</xdr:colOff>
                <xdr:row>10</xdr:row>
                <xdr:rowOff>85725</xdr:rowOff>
              </from>
              <to>
                <xdr:col>1</xdr:col>
                <xdr:colOff>447675</xdr:colOff>
                <xdr:row>12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44" name="Check Box 40">
          <controlPr defaultSize="0" autoFill="0" autoLine="0" autoPict="0">
            <anchor moveWithCells="1">
              <from>
                <xdr:col>1</xdr:col>
                <xdr:colOff>66675</xdr:colOff>
                <xdr:row>13</xdr:row>
                <xdr:rowOff>85725</xdr:rowOff>
              </from>
              <to>
                <xdr:col>1</xdr:col>
                <xdr:colOff>447675</xdr:colOff>
                <xdr:row>15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45" name="Check Box 41">
          <controlPr defaultSize="0" autoFill="0" autoLine="0" autoPict="0">
            <anchor moveWithCells="1">
              <from>
                <xdr:col>1</xdr:col>
                <xdr:colOff>628650</xdr:colOff>
                <xdr:row>13</xdr:row>
                <xdr:rowOff>85725</xdr:rowOff>
              </from>
              <to>
                <xdr:col>1</xdr:col>
                <xdr:colOff>1009650</xdr:colOff>
                <xdr:row>15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46" name="Check Box 42">
          <controlPr defaultSize="0" autoFill="0" autoLine="0" autoPict="0">
            <anchor moveWithCells="1">
              <from>
                <xdr:col>1</xdr:col>
                <xdr:colOff>1181100</xdr:colOff>
                <xdr:row>13</xdr:row>
                <xdr:rowOff>85725</xdr:rowOff>
              </from>
              <to>
                <xdr:col>1</xdr:col>
                <xdr:colOff>1552575</xdr:colOff>
                <xdr:row>15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47" name="Check Box 43">
          <controlPr defaultSize="0" autoFill="0" autoLine="0" autoPict="0">
            <anchor moveWithCells="1">
              <from>
                <xdr:col>1</xdr:col>
                <xdr:colOff>1085850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48" name="Check Box 44">
          <controlPr defaultSize="0" autoFill="0" autoLine="0" autoPict="0">
            <anchor moveWithCells="1">
              <from>
                <xdr:col>1</xdr:col>
                <xdr:colOff>1085850</xdr:colOff>
                <xdr:row>4</xdr:row>
                <xdr:rowOff>209550</xdr:rowOff>
              </from>
              <to>
                <xdr:col>2</xdr:col>
                <xdr:colOff>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49" name="Check Box 45">
          <controlPr defaultSize="0" autoFill="0" autoLine="0" autoPict="0">
            <anchor moveWithCells="1">
              <from>
                <xdr:col>6</xdr:col>
                <xdr:colOff>28575</xdr:colOff>
                <xdr:row>3</xdr:row>
                <xdr:rowOff>104775</xdr:rowOff>
              </from>
              <to>
                <xdr:col>9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50" name="Check Box 46">
          <controlPr defaultSize="0" autoFill="0" autoLine="0" autoPict="0">
            <anchor moveWithCells="1">
              <from>
                <xdr:col>9</xdr:col>
                <xdr:colOff>19050</xdr:colOff>
                <xdr:row>3</xdr:row>
                <xdr:rowOff>104775</xdr:rowOff>
              </from>
              <to>
                <xdr:col>12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51" name="Check Box 47">
          <controlPr defaultSize="0" autoFill="0" autoLine="0" autoPict="0">
            <anchor moveWithCells="1">
              <from>
                <xdr:col>12</xdr:col>
                <xdr:colOff>19050</xdr:colOff>
                <xdr:row>3</xdr:row>
                <xdr:rowOff>104775</xdr:rowOff>
              </from>
              <to>
                <xdr:col>15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52" name="Check Box 48">
          <controlPr defaultSize="0" autoFill="0" autoLine="0" autoPict="0">
            <anchor moveWithCells="1">
              <from>
                <xdr:col>15</xdr:col>
                <xdr:colOff>19050</xdr:colOff>
                <xdr:row>3</xdr:row>
                <xdr:rowOff>104775</xdr:rowOff>
              </from>
              <to>
                <xdr:col>18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53" name="Check Box 49">
          <controlPr defaultSize="0" autoFill="0" autoLine="0" autoPict="0">
            <anchor moveWithCells="1">
              <from>
                <xdr:col>18</xdr:col>
                <xdr:colOff>19050</xdr:colOff>
                <xdr:row>3</xdr:row>
                <xdr:rowOff>104775</xdr:rowOff>
              </from>
              <to>
                <xdr:col>21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54" name="Check Box 50">
          <controlPr defaultSize="0" autoFill="0" autoLine="0" autoPict="0">
            <anchor moveWithCells="1">
              <from>
                <xdr:col>21</xdr:col>
                <xdr:colOff>19050</xdr:colOff>
                <xdr:row>3</xdr:row>
                <xdr:rowOff>95250</xdr:rowOff>
              </from>
              <to>
                <xdr:col>24</xdr:col>
                <xdr:colOff>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55" name="Check Box 51">
          <controlPr defaultSize="0" autoFill="0" autoLine="0" autoPict="0">
            <anchor moveWithCells="1">
              <from>
                <xdr:col>24</xdr:col>
                <xdr:colOff>19050</xdr:colOff>
                <xdr:row>3</xdr:row>
                <xdr:rowOff>104775</xdr:rowOff>
              </from>
              <to>
                <xdr:col>27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56" name="Check Box 52">
          <controlPr defaultSize="0" autoFill="0" autoLine="0" autoPict="0">
            <anchor moveWithCells="1">
              <from>
                <xdr:col>27</xdr:col>
                <xdr:colOff>19050</xdr:colOff>
                <xdr:row>3</xdr:row>
                <xdr:rowOff>104775</xdr:rowOff>
              </from>
              <to>
                <xdr:col>30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57" name="Check Box 53">
          <controlPr defaultSize="0" autoFill="0" autoLine="0" autoPict="0">
            <anchor moveWithCells="1">
              <from>
                <xdr:col>1</xdr:col>
                <xdr:colOff>1085850</xdr:colOff>
                <xdr:row>5</xdr:row>
                <xdr:rowOff>180975</xdr:rowOff>
              </from>
              <to>
                <xdr:col>2</xdr:col>
                <xdr:colOff>0</xdr:colOff>
                <xdr:row>6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58" name="Drop Down 55">
          <controlPr defaultSize="0" autoLine="0" autoPict="0" macro="[0]!Dropdown2_Change">
            <anchor moveWithCells="1">
              <from>
                <xdr:col>9</xdr:col>
                <xdr:colOff>9525</xdr:colOff>
                <xdr:row>1</xdr:row>
                <xdr:rowOff>9525</xdr:rowOff>
              </from>
              <to>
                <xdr:col>14</xdr:col>
                <xdr:colOff>0</xdr:colOff>
                <xdr:row>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59" name="Button 57">
          <controlPr defaultSize="0" print="0" autoFill="0" autoPict="0" macro="[0]!Macro5">
            <anchor moveWithCells="1" sizeWithCells="1">
              <from>
                <xdr:col>16</xdr:col>
                <xdr:colOff>0</xdr:colOff>
                <xdr:row>1</xdr:row>
                <xdr:rowOff>0</xdr:rowOff>
              </from>
              <to>
                <xdr:col>22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60" name="Button 58">
          <controlPr defaultSize="0" print="0" autoFill="0" autoPict="0" macro="[0]!Macro7">
            <anchor moveWithCells="1" sizeWithCells="1">
              <from>
                <xdr:col>23</xdr:col>
                <xdr:colOff>381000</xdr:colOff>
                <xdr:row>1</xdr:row>
                <xdr:rowOff>0</xdr:rowOff>
              </from>
              <to>
                <xdr:col>27</xdr:col>
                <xdr:colOff>238125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61" name="Option Button 59">
          <controlPr defaultSize="0" autoFill="0" autoLine="0" autoPict="0">
            <anchor moveWithCells="1">
              <from>
                <xdr:col>1</xdr:col>
                <xdr:colOff>161925</xdr:colOff>
                <xdr:row>21</xdr:row>
                <xdr:rowOff>0</xdr:rowOff>
              </from>
              <to>
                <xdr:col>1</xdr:col>
                <xdr:colOff>1276350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62" name="Option Button 60">
          <controlPr defaultSize="0" autoFill="0" autoLine="0" autoPict="0">
            <anchor moveWithCells="1">
              <from>
                <xdr:col>1</xdr:col>
                <xdr:colOff>1114425</xdr:colOff>
                <xdr:row>21</xdr:row>
                <xdr:rowOff>0</xdr:rowOff>
              </from>
              <to>
                <xdr:col>2</xdr:col>
                <xdr:colOff>323850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63" name="Drop Down 67">
          <controlPr defaultSize="0" autoLine="0" autoPict="0" macro="[0]!Dropdown67_Change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64" name="Check Box 71">
          <controlPr defaultSize="0" autoFill="0" autoLine="0" autoPict="0">
            <anchor moveWithCells="1">
              <from>
                <xdr:col>3</xdr:col>
                <xdr:colOff>352425</xdr:colOff>
                <xdr:row>17</xdr:row>
                <xdr:rowOff>123825</xdr:rowOff>
              </from>
              <to>
                <xdr:col>7</xdr:col>
                <xdr:colOff>19050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65" name="Check Box 72">
          <controlPr defaultSize="0" autoFill="0" autoLine="0" autoPict="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1085850</xdr:colOff>
                <xdr:row>2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7B4F5-AB19-4851-BFE6-35E0C35A364D}">
  <sheetPr codeName="Sheet2"/>
  <dimension ref="A1:AK288"/>
  <sheetViews>
    <sheetView zoomScaleNormal="100" workbookViewId="0">
      <selection activeCell="X11" sqref="X11"/>
    </sheetView>
  </sheetViews>
  <sheetFormatPr defaultRowHeight="15"/>
  <cols>
    <col min="1" max="1" width="4.5703125" customWidth="1"/>
    <col min="3" max="3" width="13.7109375" bestFit="1" customWidth="1"/>
    <col min="5" max="6" width="9" style="22"/>
    <col min="7" max="7" width="13" bestFit="1" customWidth="1"/>
    <col min="9" max="10" width="9" style="22"/>
    <col min="12" max="12" width="13.7109375" bestFit="1" customWidth="1"/>
    <col min="14" max="15" width="9" style="22"/>
    <col min="16" max="16" width="13.42578125" bestFit="1" customWidth="1"/>
    <col min="18" max="19" width="9" style="22"/>
    <col min="20" max="20" width="13" bestFit="1" customWidth="1"/>
    <col min="22" max="23" width="9" style="22"/>
    <col min="24" max="24" width="13.7109375" bestFit="1" customWidth="1"/>
    <col min="26" max="27" width="9" style="22"/>
    <col min="28" max="28" width="11.42578125" bestFit="1" customWidth="1"/>
    <col min="30" max="30" width="11" bestFit="1" customWidth="1"/>
    <col min="32" max="32" width="20.5703125" bestFit="1" customWidth="1"/>
  </cols>
  <sheetData>
    <row r="1" spans="2:37" ht="15.75" thickBot="1">
      <c r="AB1" s="5" t="s">
        <v>109</v>
      </c>
      <c r="AC1" s="5" t="s">
        <v>112</v>
      </c>
      <c r="AD1" s="5" t="s">
        <v>110</v>
      </c>
      <c r="AE1" s="5" t="s">
        <v>111</v>
      </c>
      <c r="AF1" s="5" t="s">
        <v>113</v>
      </c>
      <c r="AG1" s="5" t="s">
        <v>114</v>
      </c>
      <c r="AH1" s="5" t="s">
        <v>115</v>
      </c>
    </row>
    <row r="2" spans="2:37">
      <c r="B2" s="17" t="s">
        <v>2</v>
      </c>
      <c r="C2" s="11" t="s">
        <v>103</v>
      </c>
      <c r="D2" s="11" t="s">
        <v>104</v>
      </c>
      <c r="E2" s="11" t="s">
        <v>105</v>
      </c>
      <c r="F2" s="11" t="s">
        <v>172</v>
      </c>
      <c r="G2" s="11" t="s">
        <v>106</v>
      </c>
      <c r="H2" s="12" t="s">
        <v>104</v>
      </c>
      <c r="I2" s="13"/>
      <c r="J2" s="13"/>
      <c r="K2" s="6"/>
      <c r="L2" s="10" t="s">
        <v>256</v>
      </c>
      <c r="M2" s="11" t="s">
        <v>104</v>
      </c>
      <c r="N2" s="11" t="s">
        <v>105</v>
      </c>
      <c r="O2" s="11"/>
      <c r="P2" s="11" t="s">
        <v>107</v>
      </c>
      <c r="Q2" s="11" t="s">
        <v>104</v>
      </c>
      <c r="R2" s="11" t="s">
        <v>105</v>
      </c>
      <c r="S2" s="11"/>
      <c r="T2" s="11" t="s">
        <v>108</v>
      </c>
      <c r="U2" s="11" t="s">
        <v>104</v>
      </c>
      <c r="V2" s="11" t="s">
        <v>105</v>
      </c>
      <c r="W2" s="11"/>
      <c r="X2" s="11" t="s">
        <v>378</v>
      </c>
      <c r="Y2" s="11" t="s">
        <v>104</v>
      </c>
      <c r="Z2" s="12" t="s">
        <v>105</v>
      </c>
      <c r="AA2" s="13"/>
      <c r="AB2">
        <v>1</v>
      </c>
      <c r="AC2" t="str">
        <f>SUBSTITUTE(CHOOSE(Main!$A$22,hare!AF2,hare!AH2),0,"")</f>
        <v>N/A</v>
      </c>
      <c r="AD2" t="str">
        <f>SUBSTITUTE(CHOOSE(Main!$A$22,hare!AG2,hare!AI2),0,"")</f>
        <v>5</v>
      </c>
      <c r="AF2" s="19" t="s">
        <v>242</v>
      </c>
      <c r="AG2">
        <v>5</v>
      </c>
      <c r="AH2" s="19" t="s">
        <v>242</v>
      </c>
      <c r="AI2">
        <v>5</v>
      </c>
      <c r="AJ2" s="19" t="s">
        <v>242</v>
      </c>
      <c r="AK2" s="22">
        <v>5</v>
      </c>
    </row>
    <row r="3" spans="2:37">
      <c r="B3" s="16">
        <v>1</v>
      </c>
      <c r="C3" s="13" t="str">
        <f>IF(CHOOSE(Main!$D$1,hare!L3,hare!P3,hare!T3,hare!X3,hare!G3)=0,"",CHOOSE(Main!$D$1,hare!L3,hare!P3,hare!T3,hare!X3,hare!G3))</f>
        <v>Artillery</v>
      </c>
      <c r="D3" s="13">
        <f>IF(CHOOSE(Main!$D$1,hare!M3,hare!Q3,hare!U3,hare!Y3,hare!H3)=0,"",CHOOSE(Main!$D$1,hare!M3,hare!Q3,hare!U3,hare!Y3,hare!H3))</f>
        <v>8</v>
      </c>
      <c r="E3" s="13">
        <f>CHOOSE(Main!$D$1,hare!N3,hare!R3,hare!V3,hare!Z3,hare!I3)</f>
        <v>30</v>
      </c>
      <c r="F3" s="13">
        <f>CHOOSE(Main!$D$1,hare!O3,hare!S3,hare!W3,hare!AA3,hare!J3)</f>
        <v>0</v>
      </c>
      <c r="G3" s="13" t="s">
        <v>130</v>
      </c>
      <c r="H3" s="14" t="e">
        <f>NA()</f>
        <v>#N/A</v>
      </c>
      <c r="I3" s="13"/>
      <c r="J3" s="13"/>
      <c r="K3" s="6"/>
      <c r="L3" s="75" t="s">
        <v>257</v>
      </c>
      <c r="M3" s="76">
        <v>3</v>
      </c>
      <c r="N3" s="76">
        <v>35</v>
      </c>
      <c r="O3" s="13"/>
      <c r="P3" s="76" t="s">
        <v>311</v>
      </c>
      <c r="Q3" s="76">
        <v>20</v>
      </c>
      <c r="R3" s="76">
        <v>30</v>
      </c>
      <c r="S3" s="13"/>
      <c r="T3" s="13" t="s">
        <v>379</v>
      </c>
      <c r="U3" s="13">
        <v>8</v>
      </c>
      <c r="V3" s="13">
        <v>30</v>
      </c>
      <c r="W3" s="13"/>
      <c r="X3" s="13" t="s">
        <v>342</v>
      </c>
      <c r="Y3" s="13">
        <v>3</v>
      </c>
      <c r="Z3" s="14">
        <v>30</v>
      </c>
      <c r="AA3" s="13"/>
      <c r="AB3" s="21">
        <v>2</v>
      </c>
      <c r="AC3" t="str">
        <f>SUBSTITUTE(CHOOSE(Main!$A$22,hare!AF3,hare!AH3),0,"")</f>
        <v>Carcano M1891</v>
      </c>
      <c r="AD3" t="str">
        <f>SUBSTITUTE(CHOOSE(Main!$A$22,hare!AG3,hare!AI3),0,"")</f>
        <v>3</v>
      </c>
      <c r="AF3" s="19" t="s">
        <v>92</v>
      </c>
      <c r="AG3" s="22">
        <v>3</v>
      </c>
      <c r="AH3" s="19"/>
      <c r="AI3" s="22"/>
      <c r="AJ3" s="19" t="s">
        <v>0</v>
      </c>
      <c r="AK3" s="22">
        <v>7</v>
      </c>
    </row>
    <row r="4" spans="2:37">
      <c r="B4" s="16">
        <f>B3+1</f>
        <v>2</v>
      </c>
      <c r="C4" s="13" t="str">
        <f>IF(CHOOSE(Main!$D$1,hare!L4,hare!P4,hare!T4,hare!X4,hare!G4)=0,"",CHOOSE(Main!$D$1,hare!L4,hare!P4,hare!T4,hare!X4,hare!G4))</f>
        <v>Cerberus_White</v>
      </c>
      <c r="D4" s="13">
        <f>IF(CHOOSE(Main!$D$1,hare!M4,hare!Q4,hare!U4,hare!Y4,hare!H4)=0,"",CHOOSE(Main!$D$1,hare!M4,hare!Q4,hare!U4,hare!Y4,hare!H4))</f>
        <v>4</v>
      </c>
      <c r="E4" s="13">
        <f>CHOOSE(Main!$D$1,hare!N4,hare!R4,hare!V4,hare!Z4,hare!I4)</f>
        <v>100</v>
      </c>
      <c r="F4" s="13">
        <f>CHOOSE(Main!$D$1,hare!O4,hare!S4,hare!W4,hare!AA4,hare!J4)</f>
        <v>0</v>
      </c>
      <c r="G4" s="13" t="s">
        <v>131</v>
      </c>
      <c r="H4" s="14" t="e">
        <f>NA()</f>
        <v>#N/A</v>
      </c>
      <c r="I4" s="13"/>
      <c r="J4" s="13"/>
      <c r="K4" s="6"/>
      <c r="L4" s="75" t="s">
        <v>258</v>
      </c>
      <c r="M4" s="76">
        <v>3</v>
      </c>
      <c r="N4" s="76">
        <v>30</v>
      </c>
      <c r="O4" s="13"/>
      <c r="P4" s="76" t="s">
        <v>312</v>
      </c>
      <c r="Q4" s="76">
        <v>20</v>
      </c>
      <c r="R4" s="76">
        <v>0</v>
      </c>
      <c r="S4" s="13"/>
      <c r="T4" s="13" t="s">
        <v>380</v>
      </c>
      <c r="U4" s="13">
        <v>4</v>
      </c>
      <c r="V4" s="13">
        <v>100</v>
      </c>
      <c r="W4" s="13"/>
      <c r="X4" s="13" t="s">
        <v>343</v>
      </c>
      <c r="Y4" s="13">
        <v>3</v>
      </c>
      <c r="Z4" s="14">
        <v>35</v>
      </c>
      <c r="AA4" s="13"/>
      <c r="AB4">
        <v>3</v>
      </c>
      <c r="AC4" t="str">
        <f>SUBSTITUTE(CHOOSE(Main!$A$22,hare!AF4,hare!AH4),0,"")</f>
        <v>Px4 Storm</v>
      </c>
      <c r="AD4" t="str">
        <f>SUBSTITUTE(CHOOSE(Main!$A$22,hare!AG4,hare!AI4),0,"")</f>
        <v>2</v>
      </c>
      <c r="AF4" s="19" t="s">
        <v>94</v>
      </c>
      <c r="AG4" s="22">
        <v>2</v>
      </c>
      <c r="AH4" s="19"/>
      <c r="AI4" s="22"/>
      <c r="AJ4" s="19" t="s">
        <v>142</v>
      </c>
      <c r="AK4" s="22"/>
    </row>
    <row r="5" spans="2:37">
      <c r="B5" s="16">
        <f t="shared" ref="B5:B68" si="0">B4+1</f>
        <v>3</v>
      </c>
      <c r="C5" s="13" t="str">
        <f>IF(CHOOSE(Main!$D$1,hare!L5,hare!P5,hare!T5,hare!X5,hare!G5)=0,"",CHOOSE(Main!$D$1,hare!L5,hare!P5,hare!T5,hare!X5,hare!G5))</f>
        <v>Cherub</v>
      </c>
      <c r="D5" s="13">
        <f>IF(CHOOSE(Main!$D$1,hare!M5,hare!Q5,hare!U5,hare!Y5,hare!H5)=0,"",CHOOSE(Main!$D$1,hare!M5,hare!Q5,hare!U5,hare!Y5,hare!H5))</f>
        <v>7</v>
      </c>
      <c r="E5" s="13">
        <f>CHOOSE(Main!$D$1,hare!N5,hare!R5,hare!V5,hare!Z5,hare!I5)</f>
        <v>35</v>
      </c>
      <c r="F5" s="13">
        <f>CHOOSE(Main!$D$1,hare!O5,hare!S5,hare!W5,hare!AA5,hare!J5)</f>
        <v>0</v>
      </c>
      <c r="G5" s="13" t="s">
        <v>132</v>
      </c>
      <c r="H5" s="14" t="e">
        <f>NA()</f>
        <v>#N/A</v>
      </c>
      <c r="I5" s="13"/>
      <c r="J5" s="13"/>
      <c r="K5" s="6"/>
      <c r="L5" s="75" t="s">
        <v>259</v>
      </c>
      <c r="M5" s="76">
        <v>3</v>
      </c>
      <c r="N5" s="76">
        <v>35</v>
      </c>
      <c r="O5" s="13"/>
      <c r="P5" s="76" t="s">
        <v>313</v>
      </c>
      <c r="Q5" s="76">
        <v>3</v>
      </c>
      <c r="R5" s="76">
        <v>35</v>
      </c>
      <c r="S5" s="13"/>
      <c r="T5" s="13" t="s">
        <v>381</v>
      </c>
      <c r="U5" s="13">
        <v>7</v>
      </c>
      <c r="V5" s="13">
        <v>35</v>
      </c>
      <c r="W5" s="13"/>
      <c r="X5" s="13" t="s">
        <v>344</v>
      </c>
      <c r="Y5" s="13">
        <v>1</v>
      </c>
      <c r="Z5" s="14">
        <v>20</v>
      </c>
      <c r="AA5" s="13"/>
      <c r="AB5" s="21">
        <v>4</v>
      </c>
      <c r="AC5" t="str">
        <f>SUBSTITUTE(CHOOSE(Main!$A$22,hare!AF5,hare!AH5),0,"")</f>
        <v>2B14</v>
      </c>
      <c r="AD5" t="str">
        <f>SUBSTITUTE(CHOOSE(Main!$A$22,hare!AG5,hare!AI5),0,"")</f>
        <v>1</v>
      </c>
      <c r="AF5" s="19" t="s">
        <v>23</v>
      </c>
      <c r="AG5" s="22">
        <v>1</v>
      </c>
      <c r="AH5" s="19"/>
      <c r="AI5" s="22"/>
      <c r="AJ5" s="19" t="s">
        <v>141</v>
      </c>
      <c r="AK5" s="22">
        <v>7</v>
      </c>
    </row>
    <row r="6" spans="2:37">
      <c r="B6" s="16">
        <f t="shared" si="0"/>
        <v>4</v>
      </c>
      <c r="C6" s="13" t="str">
        <f>IF(CHOOSE(Main!$D$1,hare!L6,hare!P6,hare!T6,hare!X6,hare!G6)=0,"",CHOOSE(Main!$D$1,hare!L6,hare!P6,hare!T6,hare!X6,hare!G6))</f>
        <v>Doppelsoldner</v>
      </c>
      <c r="D6" s="13">
        <f>IF(CHOOSE(Main!$D$1,hare!M6,hare!Q6,hare!U6,hare!Y6,hare!H6)=0,"",CHOOSE(Main!$D$1,hare!M6,hare!Q6,hare!U6,hare!Y6,hare!H6))</f>
        <v>6</v>
      </c>
      <c r="E6" s="13">
        <f>CHOOSE(Main!$D$1,hare!N6,hare!R6,hare!V6,hare!Z6,hare!I6)</f>
        <v>20</v>
      </c>
      <c r="F6" s="13">
        <f>CHOOSE(Main!$D$1,hare!O6,hare!S6,hare!W6,hare!AA6,hare!J6)</f>
        <v>0</v>
      </c>
      <c r="G6" s="13" t="s">
        <v>133</v>
      </c>
      <c r="H6" s="14" t="e">
        <f>NA()</f>
        <v>#N/A</v>
      </c>
      <c r="I6" s="13"/>
      <c r="J6" s="13"/>
      <c r="K6" s="6"/>
      <c r="L6" s="75" t="s">
        <v>260</v>
      </c>
      <c r="M6" s="76">
        <v>3</v>
      </c>
      <c r="N6" s="76">
        <v>30</v>
      </c>
      <c r="O6" s="13"/>
      <c r="P6" s="76" t="s">
        <v>314</v>
      </c>
      <c r="Q6" s="76">
        <v>3</v>
      </c>
      <c r="R6" s="76">
        <v>40</v>
      </c>
      <c r="S6" s="13"/>
      <c r="T6" s="13" t="s">
        <v>164</v>
      </c>
      <c r="U6" s="13">
        <v>6</v>
      </c>
      <c r="V6" s="13">
        <v>20</v>
      </c>
      <c r="W6" s="13"/>
      <c r="X6" s="13" t="s">
        <v>345</v>
      </c>
      <c r="Y6" s="13">
        <v>15</v>
      </c>
      <c r="Z6" s="14">
        <v>0</v>
      </c>
      <c r="AA6" s="13"/>
      <c r="AB6">
        <v>5</v>
      </c>
      <c r="AC6" t="str">
        <f>SUBSTITUTE(CHOOSE(Main!$A$22,hare!AF6,hare!AH6),0,"")</f>
        <v>Howa Type 64</v>
      </c>
      <c r="AD6" t="str">
        <f>SUBSTITUTE(CHOOSE(Main!$A$22,hare!AG6,hare!AI6),0,"")</f>
        <v>2</v>
      </c>
      <c r="AF6" s="19" t="s">
        <v>173</v>
      </c>
      <c r="AG6" s="22">
        <v>2</v>
      </c>
      <c r="AH6" s="19"/>
      <c r="AI6" s="22"/>
      <c r="AJ6" s="19" t="s">
        <v>143</v>
      </c>
      <c r="AK6" s="22"/>
    </row>
    <row r="7" spans="2:37">
      <c r="B7" s="16">
        <f t="shared" si="0"/>
        <v>5</v>
      </c>
      <c r="C7" s="13" t="str">
        <f>IF(CHOOSE(Main!$D$1,hare!L7,hare!P7,hare!T7,hare!X7,hare!G7)=0,"",CHOOSE(Main!$D$1,hare!L7,hare!P7,hare!T7,hare!X7,hare!G7))</f>
        <v>ELID_Armed</v>
      </c>
      <c r="D7" s="13">
        <f>IF(CHOOSE(Main!$D$1,hare!M7,hare!Q7,hare!U7,hare!Y7,hare!H7)=0,"",CHOOSE(Main!$D$1,hare!M7,hare!Q7,hare!U7,hare!Y7,hare!H7))</f>
        <v>5</v>
      </c>
      <c r="E7" s="13">
        <f>CHOOSE(Main!$D$1,hare!N7,hare!R7,hare!V7,hare!Z7,hare!I7)</f>
        <v>30</v>
      </c>
      <c r="F7" s="13">
        <f>CHOOSE(Main!$D$1,hare!O7,hare!S7,hare!W7,hare!AA7,hare!J7)</f>
        <v>0</v>
      </c>
      <c r="G7" s="13" t="s">
        <v>134</v>
      </c>
      <c r="H7" s="14" t="e">
        <f>NA()</f>
        <v>#N/A</v>
      </c>
      <c r="I7" s="13"/>
      <c r="J7" s="13"/>
      <c r="K7" s="6"/>
      <c r="L7" s="75" t="s">
        <v>261</v>
      </c>
      <c r="M7" s="76">
        <v>3</v>
      </c>
      <c r="N7" s="76">
        <v>80</v>
      </c>
      <c r="O7" s="13"/>
      <c r="P7" s="76" t="s">
        <v>315</v>
      </c>
      <c r="Q7" s="76">
        <v>3</v>
      </c>
      <c r="R7" s="76">
        <v>35</v>
      </c>
      <c r="S7" s="13"/>
      <c r="T7" s="13" t="s">
        <v>167</v>
      </c>
      <c r="U7" s="13">
        <v>5</v>
      </c>
      <c r="V7" s="13">
        <v>30</v>
      </c>
      <c r="W7" s="13"/>
      <c r="X7" s="13" t="s">
        <v>346</v>
      </c>
      <c r="Y7" s="13">
        <v>6</v>
      </c>
      <c r="Z7" s="14">
        <v>30</v>
      </c>
      <c r="AA7" s="13"/>
      <c r="AB7" s="21">
        <v>6</v>
      </c>
      <c r="AC7" t="str">
        <f>SUBSTITUTE(CHOOSE(Main!$A$22,hare!AF7,hare!AH7),0,"")</f>
        <v>CAWS</v>
      </c>
      <c r="AD7" t="str">
        <f>SUBSTITUTE(CHOOSE(Main!$A$22,hare!AG7,hare!AI7),0,"")</f>
        <v>3</v>
      </c>
      <c r="AF7" s="19" t="s">
        <v>21</v>
      </c>
      <c r="AG7" s="22">
        <v>3</v>
      </c>
      <c r="AH7" s="19"/>
      <c r="AI7" s="22"/>
      <c r="AJ7" s="19" t="s">
        <v>139</v>
      </c>
      <c r="AK7" s="22">
        <v>4</v>
      </c>
    </row>
    <row r="8" spans="2:37">
      <c r="B8" s="16">
        <f t="shared" si="0"/>
        <v>6</v>
      </c>
      <c r="C8" s="13" t="str">
        <f>IF(CHOOSE(Main!$D$1,hare!L8,hare!P8,hare!T8,hare!X8,hare!G8)=0,"",CHOOSE(Main!$D$1,hare!L8,hare!P8,hare!T8,hare!X8,hare!G8))</f>
        <v>ELID_Unarmed</v>
      </c>
      <c r="D8" s="13">
        <f>IF(CHOOSE(Main!$D$1,hare!M8,hare!Q8,hare!U8,hare!Y8,hare!H8)=0,"",CHOOSE(Main!$D$1,hare!M8,hare!Q8,hare!U8,hare!Y8,hare!H8))</f>
        <v>3</v>
      </c>
      <c r="E8" s="13">
        <f>CHOOSE(Main!$D$1,hare!N8,hare!R8,hare!V8,hare!Z8,hare!I8)</f>
        <v>30</v>
      </c>
      <c r="F8" s="13">
        <f>CHOOSE(Main!$D$1,hare!O8,hare!S8,hare!W8,hare!AA8,hare!J8)</f>
        <v>0</v>
      </c>
      <c r="G8" s="13" t="s">
        <v>135</v>
      </c>
      <c r="H8" s="14" t="e">
        <f>NA()</f>
        <v>#N/A</v>
      </c>
      <c r="I8" s="13"/>
      <c r="J8" s="13"/>
      <c r="K8" s="6"/>
      <c r="L8" s="75" t="s">
        <v>262</v>
      </c>
      <c r="M8" s="76">
        <v>3</v>
      </c>
      <c r="N8" s="76">
        <v>50</v>
      </c>
      <c r="O8" s="13"/>
      <c r="P8" s="76" t="s">
        <v>316</v>
      </c>
      <c r="Q8" s="76">
        <v>10</v>
      </c>
      <c r="R8" s="76">
        <v>30</v>
      </c>
      <c r="S8" s="13"/>
      <c r="T8" s="13" t="s">
        <v>166</v>
      </c>
      <c r="U8" s="13">
        <v>3</v>
      </c>
      <c r="V8" s="13">
        <v>30</v>
      </c>
      <c r="W8" s="13"/>
      <c r="X8" s="13" t="s">
        <v>347</v>
      </c>
      <c r="Y8" s="13">
        <v>5</v>
      </c>
      <c r="Z8" s="14">
        <v>40</v>
      </c>
      <c r="AA8" s="13"/>
      <c r="AB8">
        <v>7</v>
      </c>
      <c r="AC8" t="str">
        <f>SUBSTITUTE(CHOOSE(Main!$A$22,hare!AF8,hare!AH8),0,"")</f>
        <v>DP-12</v>
      </c>
      <c r="AD8" t="str">
        <f>SUBSTITUTE(CHOOSE(Main!$A$22,hare!AG8,hare!AI8),0,"")</f>
        <v>2</v>
      </c>
      <c r="AF8" s="19" t="s">
        <v>22</v>
      </c>
      <c r="AG8" s="22">
        <v>2</v>
      </c>
      <c r="AH8" s="19"/>
      <c r="AI8" s="22"/>
      <c r="AJ8" s="19" t="s">
        <v>146</v>
      </c>
      <c r="AK8" s="22"/>
    </row>
    <row r="9" spans="2:37">
      <c r="B9" s="16">
        <f t="shared" si="0"/>
        <v>7</v>
      </c>
      <c r="C9" s="13" t="str">
        <f>IF(CHOOSE(Main!$D$1,hare!L9,hare!P9,hare!T9,hare!X9,hare!G9)=0,"",CHOOSE(Main!$D$1,hare!L9,hare!P9,hare!T9,hare!X9,hare!G9))</f>
        <v>Engineer</v>
      </c>
      <c r="D9" s="13">
        <f>IF(CHOOSE(Main!$D$1,hare!M9,hare!Q9,hare!U9,hare!Y9,hare!H9)=0,"",CHOOSE(Main!$D$1,hare!M9,hare!Q9,hare!U9,hare!Y9,hare!H9))</f>
        <v>6</v>
      </c>
      <c r="E9" s="13">
        <f>CHOOSE(Main!$D$1,hare!N9,hare!R9,hare!V9,hare!Z9,hare!I9)</f>
        <v>30</v>
      </c>
      <c r="F9" s="13">
        <f>CHOOSE(Main!$D$1,hare!O9,hare!S9,hare!W9,hare!AA9,hare!J9)</f>
        <v>0</v>
      </c>
      <c r="G9" s="13" t="s">
        <v>136</v>
      </c>
      <c r="H9" s="14" t="e">
        <f>NA()</f>
        <v>#N/A</v>
      </c>
      <c r="I9" s="13"/>
      <c r="J9" s="13"/>
      <c r="K9" s="6"/>
      <c r="L9" s="75" t="s">
        <v>263</v>
      </c>
      <c r="M9" s="76">
        <v>3</v>
      </c>
      <c r="N9" s="76">
        <v>50</v>
      </c>
      <c r="O9" s="13"/>
      <c r="P9" s="76" t="s">
        <v>317</v>
      </c>
      <c r="Q9" s="76">
        <v>3</v>
      </c>
      <c r="R9" s="76">
        <v>100</v>
      </c>
      <c r="S9" s="13"/>
      <c r="T9" s="13" t="s">
        <v>382</v>
      </c>
      <c r="U9" s="13">
        <v>6</v>
      </c>
      <c r="V9" s="13">
        <v>30</v>
      </c>
      <c r="W9" s="13"/>
      <c r="X9" s="13" t="s">
        <v>348</v>
      </c>
      <c r="Y9" s="13">
        <v>5</v>
      </c>
      <c r="Z9" s="14">
        <v>30</v>
      </c>
      <c r="AA9" s="13"/>
      <c r="AB9" s="21">
        <v>8</v>
      </c>
      <c r="AC9" t="str">
        <f>SUBSTITUTE(CHOOSE(Main!$A$22,hare!AF9,hare!AH9),0,"")</f>
        <v>FP-6</v>
      </c>
      <c r="AD9" t="str">
        <f>SUBSTITUTE(CHOOSE(Main!$A$22,hare!AG9,hare!AI9),0,"")</f>
        <v>3</v>
      </c>
      <c r="AF9" s="19" t="s">
        <v>14</v>
      </c>
      <c r="AG9" s="22">
        <v>3</v>
      </c>
      <c r="AH9" s="19"/>
      <c r="AI9" s="22"/>
      <c r="AJ9" s="19" t="s">
        <v>248</v>
      </c>
      <c r="AK9" s="22">
        <v>7</v>
      </c>
    </row>
    <row r="10" spans="2:37">
      <c r="B10" s="16">
        <f t="shared" si="0"/>
        <v>8</v>
      </c>
      <c r="C10" s="13" t="str">
        <f>IF(CHOOSE(Main!$D$1,hare!L10,hare!P10,hare!T10,hare!X10,hare!G10)=0,"",CHOOSE(Main!$D$1,hare!L10,hare!P10,hare!T10,hare!X10,hare!G10))</f>
        <v>Executioner</v>
      </c>
      <c r="D10" s="13">
        <f>IF(CHOOSE(Main!$D$1,hare!M10,hare!Q10,hare!U10,hare!Y10,hare!H10)=0,"",CHOOSE(Main!$D$1,hare!M10,hare!Q10,hare!U10,hare!Y10,hare!H10))</f>
        <v>3</v>
      </c>
      <c r="E10" s="13">
        <f>CHOOSE(Main!$D$1,hare!N10,hare!R10,hare!V10,hare!Z10,hare!I10)</f>
        <v>30</v>
      </c>
      <c r="F10" s="13">
        <f>CHOOSE(Main!$D$1,hare!O10,hare!S10,hare!W10,hare!AA10,hare!J10)</f>
        <v>0</v>
      </c>
      <c r="G10" s="13" t="s">
        <v>137</v>
      </c>
      <c r="H10" s="14" t="e">
        <f>NA()</f>
        <v>#N/A</v>
      </c>
      <c r="I10" s="13"/>
      <c r="J10" s="13"/>
      <c r="K10" s="6"/>
      <c r="L10" s="75" t="s">
        <v>264</v>
      </c>
      <c r="M10" s="76">
        <v>3</v>
      </c>
      <c r="N10" s="76">
        <v>50</v>
      </c>
      <c r="O10" s="13"/>
      <c r="P10" s="76" t="s">
        <v>318</v>
      </c>
      <c r="Q10" s="76">
        <v>6</v>
      </c>
      <c r="R10" s="76">
        <v>30</v>
      </c>
      <c r="S10" s="13"/>
      <c r="T10" s="13" t="s">
        <v>131</v>
      </c>
      <c r="U10" s="13">
        <v>3</v>
      </c>
      <c r="V10" s="13">
        <v>30</v>
      </c>
      <c r="W10" s="13"/>
      <c r="X10" s="13" t="s">
        <v>349</v>
      </c>
      <c r="Y10" s="13">
        <v>7</v>
      </c>
      <c r="Z10" s="14">
        <v>40</v>
      </c>
      <c r="AA10" s="13"/>
      <c r="AB10">
        <v>9</v>
      </c>
      <c r="AC10" t="str">
        <f>SUBSTITUTE(CHOOSE(Main!$A$22,hare!AF10,hare!AH10),0,"")</f>
        <v>G36 mod</v>
      </c>
      <c r="AD10" t="str">
        <f>SUBSTITUTE(CHOOSE(Main!$A$22,hare!AG10,hare!AI10),0,"")</f>
        <v>2</v>
      </c>
      <c r="AF10" s="19" t="s">
        <v>24</v>
      </c>
      <c r="AG10" s="22">
        <v>2</v>
      </c>
      <c r="AH10" s="19"/>
      <c r="AI10" s="22"/>
      <c r="AJ10" s="19" t="s">
        <v>249</v>
      </c>
      <c r="AK10" s="22">
        <v>7</v>
      </c>
    </row>
    <row r="11" spans="2:37">
      <c r="B11" s="16">
        <f t="shared" si="0"/>
        <v>9</v>
      </c>
      <c r="C11" s="13" t="str">
        <f>IF(CHOOSE(Main!$D$1,hare!L11,hare!P11,hare!T11,hare!X11,hare!G11)=0,"",CHOOSE(Main!$D$1,hare!L11,hare!P11,hare!T11,hare!X11,hare!G11))</f>
        <v>Fortress</v>
      </c>
      <c r="D11" s="13">
        <f>IF(CHOOSE(Main!$D$1,hare!M11,hare!Q11,hare!U11,hare!Y11,hare!H11)=0,"",CHOOSE(Main!$D$1,hare!M11,hare!Q11,hare!U11,hare!Y11,hare!H11))</f>
        <v>6</v>
      </c>
      <c r="E11" s="13">
        <f>CHOOSE(Main!$D$1,hare!N11,hare!R11,hare!V11,hare!Z11,hare!I11)</f>
        <v>30</v>
      </c>
      <c r="F11" s="13">
        <f>CHOOSE(Main!$D$1,hare!O11,hare!S11,hare!W11,hare!AA11,hare!J11)</f>
        <v>0</v>
      </c>
      <c r="G11" s="13" t="s">
        <v>138</v>
      </c>
      <c r="H11" s="14" t="e">
        <f>NA()</f>
        <v>#N/A</v>
      </c>
      <c r="I11" s="13"/>
      <c r="J11" s="13"/>
      <c r="K11" s="6"/>
      <c r="L11" s="75" t="s">
        <v>265</v>
      </c>
      <c r="M11" s="76">
        <v>3</v>
      </c>
      <c r="N11" s="76">
        <v>45</v>
      </c>
      <c r="O11" s="13"/>
      <c r="P11" s="76" t="s">
        <v>319</v>
      </c>
      <c r="Q11" s="76">
        <v>7</v>
      </c>
      <c r="R11" s="76">
        <v>35</v>
      </c>
      <c r="S11" s="13" t="s">
        <v>102</v>
      </c>
      <c r="T11" s="13" t="s">
        <v>383</v>
      </c>
      <c r="U11" s="13">
        <v>6</v>
      </c>
      <c r="V11" s="13">
        <v>30</v>
      </c>
      <c r="W11" s="13"/>
      <c r="X11" s="13" t="s">
        <v>350</v>
      </c>
      <c r="Y11" s="13">
        <v>7</v>
      </c>
      <c r="Z11" s="14">
        <v>50</v>
      </c>
      <c r="AA11" s="13"/>
      <c r="AB11" s="21">
        <v>10</v>
      </c>
      <c r="AC11" t="str">
        <f>SUBSTITUTE(CHOOSE(Main!$A$22,hare!AF11,hare!AH11),0,"")</f>
        <v>HK416 mod</v>
      </c>
      <c r="AD11" t="str">
        <f>SUBSTITUTE(CHOOSE(Main!$A$22,hare!AG11,hare!AI11),0,"")</f>
        <v>1</v>
      </c>
      <c r="AF11" s="19" t="s">
        <v>26</v>
      </c>
      <c r="AG11" s="22">
        <v>1</v>
      </c>
      <c r="AH11" s="19"/>
      <c r="AI11" s="22"/>
      <c r="AJ11" s="19" t="s">
        <v>136</v>
      </c>
      <c r="AK11" s="22">
        <v>4</v>
      </c>
    </row>
    <row r="12" spans="2:37">
      <c r="B12" s="16">
        <f t="shared" si="0"/>
        <v>10</v>
      </c>
      <c r="C12" s="13" t="str">
        <f>IF(CHOOSE(Main!$D$1,hare!L12,hare!P12,hare!T12,hare!X12,hare!G12)=0,"",CHOOSE(Main!$D$1,hare!L12,hare!P12,hare!T12,hare!X12,hare!G12))</f>
        <v>Grenadier</v>
      </c>
      <c r="D12" s="13">
        <f>IF(CHOOSE(Main!$D$1,hare!M12,hare!Q12,hare!U12,hare!Y12,hare!H12)=0,"",CHOOSE(Main!$D$1,hare!M12,hare!Q12,hare!U12,hare!Y12,hare!H12))</f>
        <v>7</v>
      </c>
      <c r="E12" s="13">
        <f>CHOOSE(Main!$D$1,hare!N12,hare!R12,hare!V12,hare!Z12,hare!I12)</f>
        <v>30</v>
      </c>
      <c r="F12" s="13">
        <f>CHOOSE(Main!$D$1,hare!O12,hare!S12,hare!W12,hare!AA12,hare!J12)</f>
        <v>0</v>
      </c>
      <c r="G12" s="13" t="s">
        <v>139</v>
      </c>
      <c r="H12" s="14" t="e">
        <f>NA()</f>
        <v>#N/A</v>
      </c>
      <c r="I12" s="13"/>
      <c r="J12" s="13"/>
      <c r="K12" s="6"/>
      <c r="L12" s="75" t="s">
        <v>266</v>
      </c>
      <c r="M12" s="76">
        <v>3</v>
      </c>
      <c r="N12" s="76">
        <v>60</v>
      </c>
      <c r="O12" s="13"/>
      <c r="P12" s="76" t="s">
        <v>320</v>
      </c>
      <c r="Q12" s="76">
        <v>6</v>
      </c>
      <c r="R12" s="76">
        <v>30</v>
      </c>
      <c r="S12" s="13"/>
      <c r="T12" s="13" t="s">
        <v>384</v>
      </c>
      <c r="U12" s="13">
        <v>7</v>
      </c>
      <c r="V12" s="13">
        <v>30</v>
      </c>
      <c r="W12" s="13"/>
      <c r="X12" s="13" t="s">
        <v>351</v>
      </c>
      <c r="Y12" s="13">
        <v>5</v>
      </c>
      <c r="Z12" s="14">
        <v>30</v>
      </c>
      <c r="AA12" s="13"/>
      <c r="AB12">
        <v>11</v>
      </c>
      <c r="AC12" t="str">
        <f>SUBSTITUTE(CHOOSE(Main!$A$22,hare!AF12,hare!AH12),0,"")</f>
        <v>K11</v>
      </c>
      <c r="AD12" t="str">
        <f>SUBSTITUTE(CHOOSE(Main!$A$22,hare!AG12,hare!AI12),0,"")</f>
        <v>1</v>
      </c>
      <c r="AF12" s="19" t="s">
        <v>17</v>
      </c>
      <c r="AG12" s="22">
        <v>1</v>
      </c>
      <c r="AH12" s="19"/>
      <c r="AI12" s="22"/>
      <c r="AJ12" s="19" t="s">
        <v>145</v>
      </c>
      <c r="AK12" s="22"/>
    </row>
    <row r="13" spans="2:37">
      <c r="B13" s="16">
        <f t="shared" si="0"/>
        <v>11</v>
      </c>
      <c r="C13" s="13" t="str">
        <f>IF(CHOOSE(Main!$D$1,hare!L13,hare!P13,hare!T13,hare!X13,hare!G13)=0,"",CHOOSE(Main!$D$1,hare!L13,hare!P13,hare!T13,hare!X13,hare!G13))</f>
        <v>Isomer</v>
      </c>
      <c r="D13" s="13">
        <f>IF(CHOOSE(Main!$D$1,hare!M13,hare!Q13,hare!U13,hare!Y13,hare!H13)=0,"",CHOOSE(Main!$D$1,hare!M13,hare!Q13,hare!U13,hare!Y13,hare!H13))</f>
        <v>20</v>
      </c>
      <c r="E13" s="13">
        <f>CHOOSE(Main!$D$1,hare!N13,hare!R13,hare!V13,hare!Z13,hare!I13)</f>
        <v>25</v>
      </c>
      <c r="F13" s="13">
        <f>CHOOSE(Main!$D$1,hare!O13,hare!S13,hare!W13,hare!AA13,hare!J13)</f>
        <v>0</v>
      </c>
      <c r="G13" s="13" t="s">
        <v>140</v>
      </c>
      <c r="H13" s="14" t="e">
        <f>NA()</f>
        <v>#N/A</v>
      </c>
      <c r="I13" s="13"/>
      <c r="J13" s="13"/>
      <c r="K13" s="6"/>
      <c r="L13" s="75" t="s">
        <v>267</v>
      </c>
      <c r="M13" s="76">
        <v>3</v>
      </c>
      <c r="N13" s="76">
        <v>45</v>
      </c>
      <c r="O13" s="13"/>
      <c r="P13" s="76" t="s">
        <v>321</v>
      </c>
      <c r="Q13" s="76">
        <v>20</v>
      </c>
      <c r="R13" s="76">
        <v>35</v>
      </c>
      <c r="S13" s="13"/>
      <c r="T13" s="13" t="s">
        <v>385</v>
      </c>
      <c r="U13" s="13">
        <v>20</v>
      </c>
      <c r="V13" s="13">
        <v>25</v>
      </c>
      <c r="W13" s="13"/>
      <c r="X13" s="13" t="s">
        <v>352</v>
      </c>
      <c r="Y13" s="13">
        <v>3</v>
      </c>
      <c r="Z13" s="14">
        <v>30</v>
      </c>
      <c r="AA13" s="13"/>
      <c r="AB13" s="21">
        <v>12</v>
      </c>
      <c r="AC13" t="str">
        <f>SUBSTITUTE(CHOOSE(Main!$A$22,hare!AF13,hare!AH13),0,"")</f>
        <v>K5</v>
      </c>
      <c r="AD13" t="str">
        <f>SUBSTITUTE(CHOOSE(Main!$A$22,hare!AG13,hare!AI13),0,"")</f>
        <v>2</v>
      </c>
      <c r="AF13" s="19" t="s">
        <v>16</v>
      </c>
      <c r="AG13" s="22">
        <v>2</v>
      </c>
      <c r="AH13" s="19"/>
      <c r="AI13" s="22"/>
      <c r="AJ13" s="19" t="s">
        <v>250</v>
      </c>
      <c r="AK13" s="22">
        <v>7</v>
      </c>
    </row>
    <row r="14" spans="2:37">
      <c r="B14" s="16">
        <f t="shared" si="0"/>
        <v>12</v>
      </c>
      <c r="C14" s="13" t="str">
        <f>IF(CHOOSE(Main!$D$1,hare!L14,hare!P14,hare!T14,hare!X14,hare!G14)=0,"",CHOOSE(Main!$D$1,hare!L14,hare!P14,hare!T14,hare!X14,hare!G14))</f>
        <v>Kratos</v>
      </c>
      <c r="D14" s="13">
        <f>IF(CHOOSE(Main!$D$1,hare!M14,hare!Q14,hare!U14,hare!Y14,hare!H14)=0,"",CHOOSE(Main!$D$1,hare!M14,hare!Q14,hare!U14,hare!Y14,hare!H14))</f>
        <v>3</v>
      </c>
      <c r="E14" s="13">
        <f>CHOOSE(Main!$D$1,hare!N14,hare!R14,hare!V14,hare!Z14,hare!I14)</f>
        <v>28</v>
      </c>
      <c r="F14" s="13">
        <f>CHOOSE(Main!$D$1,hare!O14,hare!S14,hare!W14,hare!AA14,hare!J14)</f>
        <v>0</v>
      </c>
      <c r="G14" s="13" t="s">
        <v>141</v>
      </c>
      <c r="H14" s="14" t="e">
        <f>NA()</f>
        <v>#N/A</v>
      </c>
      <c r="I14" s="13"/>
      <c r="J14" s="13"/>
      <c r="K14" s="6"/>
      <c r="L14" s="75" t="s">
        <v>268</v>
      </c>
      <c r="M14" s="76">
        <v>3</v>
      </c>
      <c r="N14" s="76">
        <v>45</v>
      </c>
      <c r="O14" s="13"/>
      <c r="P14" s="76" t="s">
        <v>322</v>
      </c>
      <c r="Q14" s="76">
        <v>5</v>
      </c>
      <c r="R14" s="76">
        <v>50</v>
      </c>
      <c r="S14" s="13"/>
      <c r="T14" s="13" t="s">
        <v>386</v>
      </c>
      <c r="U14" s="13">
        <v>3</v>
      </c>
      <c r="V14" s="13">
        <v>28</v>
      </c>
      <c r="W14" s="13"/>
      <c r="X14" s="13" t="s">
        <v>353</v>
      </c>
      <c r="Y14" s="13">
        <v>8</v>
      </c>
      <c r="Z14" s="14">
        <v>30</v>
      </c>
      <c r="AA14" s="13"/>
      <c r="AB14">
        <v>13</v>
      </c>
      <c r="AC14" t="str">
        <f>SUBSTITUTE(CHOOSE(Main!$A$22,hare!AF14,hare!AH14),0,"")</f>
        <v>KSVK</v>
      </c>
      <c r="AD14" t="str">
        <f>SUBSTITUTE(CHOOSE(Main!$A$22,hare!AG14,hare!AI14),0,"")</f>
        <v>1</v>
      </c>
      <c r="AF14" s="19" t="s">
        <v>19</v>
      </c>
      <c r="AG14" s="22">
        <v>1</v>
      </c>
      <c r="AH14" s="19"/>
      <c r="AI14" s="22"/>
      <c r="AJ14" s="19" t="s">
        <v>251</v>
      </c>
      <c r="AK14" s="22">
        <v>7</v>
      </c>
    </row>
    <row r="15" spans="2:37">
      <c r="B15" s="16">
        <f t="shared" si="0"/>
        <v>13</v>
      </c>
      <c r="C15" s="13" t="str">
        <f>IF(CHOOSE(Main!$D$1,hare!L15,hare!P15,hare!T15,hare!X15,hare!G15)=0,"",CHOOSE(Main!$D$1,hare!L15,hare!P15,hare!T15,hare!X15,hare!G15))</f>
        <v>Mastersergeant</v>
      </c>
      <c r="D15" s="13">
        <f>IF(CHOOSE(Main!$D$1,hare!M15,hare!Q15,hare!U15,hare!Y15,hare!H15)=0,"",CHOOSE(Main!$D$1,hare!M15,hare!Q15,hare!U15,hare!Y15,hare!H15))</f>
        <v>6</v>
      </c>
      <c r="E15" s="13">
        <f>CHOOSE(Main!$D$1,hare!N15,hare!R15,hare!V15,hare!Z15,hare!I15)</f>
        <v>30</v>
      </c>
      <c r="F15" s="13">
        <f>CHOOSE(Main!$D$1,hare!O15,hare!S15,hare!W15,hare!AA15,hare!J15)</f>
        <v>0</v>
      </c>
      <c r="G15" s="13" t="s">
        <v>142</v>
      </c>
      <c r="H15" s="14" t="e">
        <f>NA()</f>
        <v>#N/A</v>
      </c>
      <c r="I15" s="13"/>
      <c r="J15" s="13"/>
      <c r="K15" s="6"/>
      <c r="L15" s="75" t="s">
        <v>269</v>
      </c>
      <c r="M15" s="76">
        <v>3</v>
      </c>
      <c r="N15" s="76">
        <v>60</v>
      </c>
      <c r="O15" s="13"/>
      <c r="P15" s="76" t="s">
        <v>323</v>
      </c>
      <c r="Q15" s="76">
        <v>20</v>
      </c>
      <c r="R15" s="76">
        <v>35</v>
      </c>
      <c r="S15" s="13"/>
      <c r="T15" s="13" t="s">
        <v>387</v>
      </c>
      <c r="U15" s="13">
        <v>6</v>
      </c>
      <c r="V15" s="13">
        <v>30</v>
      </c>
      <c r="W15" s="13"/>
      <c r="X15" s="13" t="s">
        <v>354</v>
      </c>
      <c r="Y15" s="13">
        <v>3</v>
      </c>
      <c r="Z15" s="14">
        <v>60</v>
      </c>
      <c r="AA15" s="13"/>
      <c r="AB15" s="21">
        <v>14</v>
      </c>
      <c r="AC15" t="str">
        <f>SUBSTITUTE(CHOOSE(Main!$A$22,hare!AF15,hare!AH15),0,"")</f>
        <v>LWMMG mod</v>
      </c>
      <c r="AD15" t="str">
        <f>SUBSTITUTE(CHOOSE(Main!$A$22,hare!AG15,hare!AI15),0,"")</f>
        <v>2</v>
      </c>
      <c r="AF15" s="19" t="s">
        <v>62</v>
      </c>
      <c r="AG15" s="19">
        <v>2</v>
      </c>
      <c r="AH15" s="19"/>
      <c r="AI15" s="22"/>
      <c r="AJ15" s="19" t="s">
        <v>169</v>
      </c>
      <c r="AK15" s="22">
        <v>7</v>
      </c>
    </row>
    <row r="16" spans="2:37">
      <c r="B16" s="16">
        <f t="shared" si="0"/>
        <v>14</v>
      </c>
      <c r="C16" s="13" t="str">
        <f>IF(CHOOSE(Main!$D$1,hare!L16,hare!P16,hare!T16,hare!X16,hare!G16)=0,"",CHOOSE(Main!$D$1,hare!L16,hare!P16,hare!T16,hare!X16,hare!G16))</f>
        <v>Mecha_N</v>
      </c>
      <c r="D16" s="13">
        <f>IF(CHOOSE(Main!$D$1,hare!M16,hare!Q16,hare!U16,hare!Y16,hare!H16)=0,"",CHOOSE(Main!$D$1,hare!M16,hare!Q16,hare!U16,hare!Y16,hare!H16))</f>
        <v>9</v>
      </c>
      <c r="E16" s="13">
        <f>CHOOSE(Main!$D$1,hare!N16,hare!R16,hare!V16,hare!Z16,hare!I16)</f>
        <v>30</v>
      </c>
      <c r="F16" s="13">
        <f>CHOOSE(Main!$D$1,hare!O16,hare!S16,hare!W16,hare!AA16,hare!J16)</f>
        <v>0</v>
      </c>
      <c r="G16" s="13" t="s">
        <v>0</v>
      </c>
      <c r="H16" s="14" t="e">
        <f>NA()</f>
        <v>#N/A</v>
      </c>
      <c r="I16" s="13"/>
      <c r="J16" s="13"/>
      <c r="K16" s="6"/>
      <c r="L16" s="75" t="s">
        <v>270</v>
      </c>
      <c r="M16" s="76">
        <v>1</v>
      </c>
      <c r="N16" s="76">
        <v>40</v>
      </c>
      <c r="O16" s="13"/>
      <c r="P16" s="76" t="s">
        <v>324</v>
      </c>
      <c r="Q16" s="76">
        <v>6</v>
      </c>
      <c r="R16" s="76">
        <v>30</v>
      </c>
      <c r="S16" s="13"/>
      <c r="T16" s="13" t="s">
        <v>388</v>
      </c>
      <c r="U16" s="13">
        <v>9</v>
      </c>
      <c r="V16" s="13">
        <v>30</v>
      </c>
      <c r="W16" s="13"/>
      <c r="X16" s="13" t="s">
        <v>355</v>
      </c>
      <c r="Y16" s="13">
        <v>3</v>
      </c>
      <c r="Z16" s="14">
        <v>50</v>
      </c>
      <c r="AA16" s="13"/>
      <c r="AB16">
        <v>15</v>
      </c>
      <c r="AC16" t="str">
        <f>SUBSTITUTE(CHOOSE(Main!$A$22,hare!AF16,hare!AH16),0,"")</f>
        <v>M4A1 mod</v>
      </c>
      <c r="AD16" t="str">
        <f>SUBSTITUTE(CHOOSE(Main!$A$22,hare!AG16,hare!AI16),0,"")</f>
        <v>1</v>
      </c>
      <c r="AF16" s="19" t="s">
        <v>25</v>
      </c>
      <c r="AG16" s="22">
        <v>1</v>
      </c>
      <c r="AH16" s="19"/>
      <c r="AI16" s="22"/>
      <c r="AJ16" s="19" t="s">
        <v>170</v>
      </c>
      <c r="AK16" s="22">
        <v>6</v>
      </c>
    </row>
    <row r="17" spans="1:37">
      <c r="A17" t="b">
        <v>0</v>
      </c>
      <c r="B17" s="16">
        <f t="shared" si="0"/>
        <v>15</v>
      </c>
      <c r="C17" s="13" t="str">
        <f>IF(CHOOSE(Main!$D$1,hare!L17,hare!P17,hare!T17,hare!X17,hare!G17)=0,"",CHOOSE(Main!$D$1,hare!L17,hare!P17,hare!T17,hare!X17,hare!G17))</f>
        <v>MechanicalSpiderM</v>
      </c>
      <c r="D17" s="13">
        <f>IF(CHOOSE(Main!$D$1,hare!M17,hare!Q17,hare!U17,hare!Y17,hare!H17)=0,"",CHOOSE(Main!$D$1,hare!M17,hare!Q17,hare!U17,hare!Y17,hare!H17))</f>
        <v>4</v>
      </c>
      <c r="E17" s="13">
        <f>CHOOSE(Main!$D$1,hare!N17,hare!R17,hare!V17,hare!Z17,hare!I17)</f>
        <v>30</v>
      </c>
      <c r="F17" s="13">
        <f>CHOOSE(Main!$D$1,hare!O17,hare!S17,hare!W17,hare!AA17,hare!J17)</f>
        <v>0</v>
      </c>
      <c r="G17" s="13" t="s">
        <v>148</v>
      </c>
      <c r="H17" s="14" t="e">
        <f>NA()</f>
        <v>#N/A</v>
      </c>
      <c r="I17" s="13"/>
      <c r="J17" s="13"/>
      <c r="K17" s="6"/>
      <c r="L17" s="75" t="s">
        <v>271</v>
      </c>
      <c r="M17" s="76">
        <v>1</v>
      </c>
      <c r="N17" s="76">
        <v>40</v>
      </c>
      <c r="O17" s="13"/>
      <c r="P17" s="76" t="s">
        <v>325</v>
      </c>
      <c r="Q17" s="76">
        <v>5</v>
      </c>
      <c r="R17" s="76">
        <v>50</v>
      </c>
      <c r="S17" s="13"/>
      <c r="T17" s="13" t="s">
        <v>389</v>
      </c>
      <c r="U17" s="13">
        <v>4</v>
      </c>
      <c r="V17" s="13">
        <v>30</v>
      </c>
      <c r="W17" s="13"/>
      <c r="X17" s="13" t="s">
        <v>356</v>
      </c>
      <c r="Y17" s="13">
        <v>5</v>
      </c>
      <c r="Z17" s="14">
        <v>30</v>
      </c>
      <c r="AA17" s="13"/>
      <c r="AB17" s="21">
        <v>16</v>
      </c>
      <c r="AC17" t="str">
        <f>SUBSTITUTE(CHOOSE(Main!$A$22,hare!AF17,hare!AH17),0,"")</f>
        <v>MDR</v>
      </c>
      <c r="AD17" t="str">
        <f>SUBSTITUTE(CHOOSE(Main!$A$22,hare!AG17,hare!AI17),0,"")</f>
        <v>2</v>
      </c>
      <c r="AF17" s="19" t="s">
        <v>12</v>
      </c>
      <c r="AG17" s="22">
        <v>2</v>
      </c>
      <c r="AH17" s="19"/>
      <c r="AI17" s="22"/>
      <c r="AJ17" s="19" t="s">
        <v>168</v>
      </c>
      <c r="AK17" s="22">
        <v>1</v>
      </c>
    </row>
    <row r="18" spans="1:37">
      <c r="B18" s="16">
        <f t="shared" si="0"/>
        <v>16</v>
      </c>
      <c r="C18" s="13" t="str">
        <f>IF(CHOOSE(Main!$D$1,hare!L18,hare!P18,hare!T18,hare!X18,hare!G18)=0,"",CHOOSE(Main!$D$1,hare!L18,hare!P18,hare!T18,hare!X18,hare!G18))</f>
        <v>MechanicalSpiderS</v>
      </c>
      <c r="D18" s="13">
        <f>IF(CHOOSE(Main!$D$1,hare!M18,hare!Q18,hare!U18,hare!Y18,hare!H18)=0,"",CHOOSE(Main!$D$1,hare!M18,hare!Q18,hare!U18,hare!Y18,hare!H18))</f>
        <v>2</v>
      </c>
      <c r="E18" s="13">
        <f>CHOOSE(Main!$D$1,hare!N18,hare!R18,hare!V18,hare!Z18,hare!I18)</f>
        <v>50</v>
      </c>
      <c r="F18" s="13">
        <f>CHOOSE(Main!$D$1,hare!O18,hare!S18,hare!W18,hare!AA18,hare!J18)</f>
        <v>0</v>
      </c>
      <c r="G18" s="13" t="s">
        <v>1</v>
      </c>
      <c r="H18" s="14" t="e">
        <f>NA()</f>
        <v>#N/A</v>
      </c>
      <c r="I18" s="13"/>
      <c r="J18" s="13"/>
      <c r="K18" s="6"/>
      <c r="L18" s="75" t="s">
        <v>272</v>
      </c>
      <c r="M18" s="76">
        <v>1</v>
      </c>
      <c r="N18" s="76">
        <v>40</v>
      </c>
      <c r="O18" s="13"/>
      <c r="P18" s="76" t="s">
        <v>326</v>
      </c>
      <c r="Q18" s="76">
        <v>99</v>
      </c>
      <c r="R18" s="76">
        <v>0</v>
      </c>
      <c r="S18" s="13"/>
      <c r="T18" s="13" t="s">
        <v>390</v>
      </c>
      <c r="U18" s="13">
        <v>2</v>
      </c>
      <c r="V18" s="13">
        <v>50</v>
      </c>
      <c r="W18" s="13"/>
      <c r="X18" s="13" t="s">
        <v>357</v>
      </c>
      <c r="Y18" s="13">
        <v>7</v>
      </c>
      <c r="Z18" s="14">
        <v>50</v>
      </c>
      <c r="AA18" s="13"/>
      <c r="AB18">
        <v>17</v>
      </c>
      <c r="AC18" t="str">
        <f>SUBSTITUTE(CHOOSE(Main!$A$22,hare!AF18,hare!AH18),0,"")</f>
        <v>MG36</v>
      </c>
      <c r="AD18" t="str">
        <f>SUBSTITUTE(CHOOSE(Main!$A$22,hare!AG18,hare!AI18),0,"")</f>
        <v>2</v>
      </c>
      <c r="AF18" s="19" t="s">
        <v>13</v>
      </c>
      <c r="AG18" s="22">
        <v>2</v>
      </c>
      <c r="AH18" s="19"/>
      <c r="AI18" s="22"/>
      <c r="AJ18" s="19" t="s">
        <v>252</v>
      </c>
      <c r="AK18" s="22"/>
    </row>
    <row r="19" spans="1:37">
      <c r="B19" s="16">
        <f t="shared" si="0"/>
        <v>17</v>
      </c>
      <c r="C19" s="13" t="str">
        <f>IF(CHOOSE(Main!$D$1,hare!L19,hare!P19,hare!T19,hare!X19,hare!G19)=0,"",CHOOSE(Main!$D$1,hare!L19,hare!P19,hare!T19,hare!X19,hare!G19))</f>
        <v>Metalmax</v>
      </c>
      <c r="D19" s="13">
        <f>IF(CHOOSE(Main!$D$1,hare!M19,hare!Q19,hare!U19,hare!Y19,hare!H19)=0,"",CHOOSE(Main!$D$1,hare!M19,hare!Q19,hare!U19,hare!Y19,hare!H19))</f>
        <v>3</v>
      </c>
      <c r="E19" s="13">
        <f>CHOOSE(Main!$D$1,hare!N19,hare!R19,hare!V19,hare!Z19,hare!I19)</f>
        <v>30</v>
      </c>
      <c r="F19" s="13">
        <f>CHOOSE(Main!$D$1,hare!O19,hare!S19,hare!W19,hare!AA19,hare!J19)</f>
        <v>0</v>
      </c>
      <c r="G19" s="13" t="s">
        <v>143</v>
      </c>
      <c r="H19" s="14" t="e">
        <f>NA()</f>
        <v>#N/A</v>
      </c>
      <c r="I19" s="13"/>
      <c r="J19" s="13"/>
      <c r="K19" s="6"/>
      <c r="L19" s="75" t="s">
        <v>273</v>
      </c>
      <c r="M19" s="76">
        <v>1</v>
      </c>
      <c r="N19" s="76">
        <v>40</v>
      </c>
      <c r="O19" s="13"/>
      <c r="P19" s="76" t="s">
        <v>327</v>
      </c>
      <c r="Q19" s="76">
        <v>10</v>
      </c>
      <c r="R19" s="76">
        <v>30</v>
      </c>
      <c r="S19" s="13"/>
      <c r="T19" s="13" t="s">
        <v>391</v>
      </c>
      <c r="U19" s="13">
        <v>3</v>
      </c>
      <c r="V19" s="13">
        <v>30</v>
      </c>
      <c r="W19" s="13"/>
      <c r="X19" s="13" t="s">
        <v>358</v>
      </c>
      <c r="Y19" s="13">
        <v>0</v>
      </c>
      <c r="Z19" s="14">
        <v>0</v>
      </c>
      <c r="AA19" s="13"/>
      <c r="AB19" s="21">
        <v>18</v>
      </c>
      <c r="AC19" t="str">
        <f>SUBSTITUTE(CHOOSE(Main!$A$22,hare!AF19,hare!AH19),0,"")</f>
        <v>MP-446 mod</v>
      </c>
      <c r="AD19" t="str">
        <f>SUBSTITUTE(CHOOSE(Main!$A$22,hare!AG19,hare!AI19),0,"")</f>
        <v>2</v>
      </c>
      <c r="AF19" s="19" t="s">
        <v>27</v>
      </c>
      <c r="AG19" s="22">
        <v>2</v>
      </c>
      <c r="AH19" s="19"/>
      <c r="AI19" s="22"/>
      <c r="AJ19" s="19" t="s">
        <v>253</v>
      </c>
      <c r="AK19" s="22"/>
    </row>
    <row r="20" spans="1:37">
      <c r="B20" s="16">
        <f t="shared" si="0"/>
        <v>18</v>
      </c>
      <c r="C20" s="13" t="str">
        <f>IF(CHOOSE(Main!$D$1,hare!L20,hare!P20,hare!T20,hare!X20,hare!G20)=0,"",CHOOSE(Main!$D$1,hare!L20,hare!P20,hare!T20,hare!X20,hare!G20))</f>
        <v>Nyto_Black_Hammer</v>
      </c>
      <c r="D20" s="13">
        <f>IF(CHOOSE(Main!$D$1,hare!M20,hare!Q20,hare!U20,hare!Y20,hare!H20)=0,"",CHOOSE(Main!$D$1,hare!M20,hare!Q20,hare!U20,hare!Y20,hare!H20))</f>
        <v>3</v>
      </c>
      <c r="E20" s="13">
        <f>CHOOSE(Main!$D$1,hare!N20,hare!R20,hare!V20,hare!Z20,hare!I20)</f>
        <v>30</v>
      </c>
      <c r="F20" s="13">
        <f>CHOOSE(Main!$D$1,hare!O20,hare!S20,hare!W20,hare!AA20,hare!J20)</f>
        <v>0</v>
      </c>
      <c r="G20" s="13" t="s">
        <v>144</v>
      </c>
      <c r="H20" s="14" t="e">
        <f>NA()</f>
        <v>#N/A</v>
      </c>
      <c r="I20" s="13"/>
      <c r="J20" s="13"/>
      <c r="K20" s="6"/>
      <c r="L20" s="75" t="s">
        <v>274</v>
      </c>
      <c r="M20" s="76">
        <v>1</v>
      </c>
      <c r="N20" s="76">
        <v>40</v>
      </c>
      <c r="O20" s="13"/>
      <c r="P20" s="76" t="s">
        <v>328</v>
      </c>
      <c r="Q20" s="76">
        <v>7</v>
      </c>
      <c r="R20" s="76">
        <v>30</v>
      </c>
      <c r="S20" s="13"/>
      <c r="T20" s="13" t="s">
        <v>392</v>
      </c>
      <c r="U20" s="13">
        <v>3</v>
      </c>
      <c r="V20" s="13">
        <v>30</v>
      </c>
      <c r="W20" s="13"/>
      <c r="X20" s="13" t="s">
        <v>359</v>
      </c>
      <c r="Y20" s="13">
        <v>7</v>
      </c>
      <c r="Z20" s="14">
        <v>50</v>
      </c>
      <c r="AA20" s="13"/>
      <c r="AB20">
        <v>19</v>
      </c>
      <c r="AC20" t="str">
        <f>SUBSTITUTE(CHOOSE(Main!$A$22,hare!AF20,hare!AH20),0,"")</f>
        <v>P22</v>
      </c>
      <c r="AD20" t="str">
        <f>SUBSTITUTE(CHOOSE(Main!$A$22,hare!AG20,hare!AI20),0,"")</f>
        <v>5</v>
      </c>
      <c r="AF20" s="19" t="s">
        <v>18</v>
      </c>
      <c r="AG20" s="22">
        <v>5</v>
      </c>
      <c r="AH20" s="19"/>
      <c r="AI20" s="22"/>
      <c r="AJ20" s="19" t="s">
        <v>211</v>
      </c>
      <c r="AK20" s="22">
        <v>5</v>
      </c>
    </row>
    <row r="21" spans="1:37">
      <c r="B21" s="16">
        <f t="shared" si="0"/>
        <v>19</v>
      </c>
      <c r="C21" s="13" t="str">
        <f>IF(CHOOSE(Main!$D$1,hare!L21,hare!P21,hare!T21,hare!X21,hare!G21)=0,"",CHOOSE(Main!$D$1,hare!L21,hare!P21,hare!T21,hare!X21,hare!G21))</f>
        <v>Nyto_Black_RF</v>
      </c>
      <c r="D21" s="13">
        <f>IF(CHOOSE(Main!$D$1,hare!M21,hare!Q21,hare!U21,hare!Y21,hare!H21)=0,"",CHOOSE(Main!$D$1,hare!M21,hare!Q21,hare!U21,hare!Y21,hare!H21))</f>
        <v>9</v>
      </c>
      <c r="E21" s="13">
        <f>CHOOSE(Main!$D$1,hare!N21,hare!R21,hare!V21,hare!Z21,hare!I21)</f>
        <v>20</v>
      </c>
      <c r="F21" s="13">
        <f>CHOOSE(Main!$D$1,hare!O21,hare!S21,hare!W21,hare!AA21,hare!J21)</f>
        <v>0</v>
      </c>
      <c r="G21" s="13" t="s">
        <v>145</v>
      </c>
      <c r="H21" s="14" t="e">
        <f>NA()</f>
        <v>#N/A</v>
      </c>
      <c r="I21" s="13"/>
      <c r="J21" s="13"/>
      <c r="K21" s="6"/>
      <c r="L21" s="75" t="s">
        <v>275</v>
      </c>
      <c r="M21" s="76">
        <v>1</v>
      </c>
      <c r="N21" s="76">
        <v>40</v>
      </c>
      <c r="O21" s="13"/>
      <c r="P21" s="76" t="s">
        <v>329</v>
      </c>
      <c r="Q21" s="76">
        <v>4</v>
      </c>
      <c r="R21" s="76">
        <v>30</v>
      </c>
      <c r="S21" s="13"/>
      <c r="T21" s="13" t="s">
        <v>393</v>
      </c>
      <c r="U21" s="13">
        <v>9</v>
      </c>
      <c r="V21" s="13">
        <v>20</v>
      </c>
      <c r="W21" s="13"/>
      <c r="X21" s="13" t="s">
        <v>360</v>
      </c>
      <c r="Y21" s="13">
        <v>2</v>
      </c>
      <c r="Z21" s="14">
        <v>100</v>
      </c>
      <c r="AA21" s="13"/>
      <c r="AB21" s="21">
        <v>20</v>
      </c>
      <c r="AC21" t="str">
        <f>SUBSTITUTE(CHOOSE(Main!$A$22,hare!AF21,hare!AH21),0,"")</f>
        <v>PA-15</v>
      </c>
      <c r="AD21" t="str">
        <f>SUBSTITUTE(CHOOSE(Main!$A$22,hare!AG21,hare!AI21),0,"")</f>
        <v>1</v>
      </c>
      <c r="AF21" s="19" t="s">
        <v>20</v>
      </c>
      <c r="AG21" s="22">
        <v>1</v>
      </c>
      <c r="AH21" s="19"/>
      <c r="AI21" s="22"/>
      <c r="AJ21" s="19" t="s">
        <v>138</v>
      </c>
      <c r="AK21" s="22">
        <v>6</v>
      </c>
    </row>
    <row r="22" spans="1:37">
      <c r="B22" s="16">
        <f t="shared" si="0"/>
        <v>20</v>
      </c>
      <c r="C22" s="13" t="str">
        <f>IF(CHOOSE(Main!$D$1,hare!L22,hare!P22,hare!T22,hare!X22,hare!G22)=0,"",CHOOSE(Main!$D$1,hare!L22,hare!P22,hare!T22,hare!X22,hare!G22))</f>
        <v>Nyto_Black_SMG</v>
      </c>
      <c r="D22" s="13">
        <f>IF(CHOOSE(Main!$D$1,hare!M22,hare!Q22,hare!U22,hare!Y22,hare!H22)=0,"",CHOOSE(Main!$D$1,hare!M22,hare!Q22,hare!U22,hare!Y22,hare!H22))</f>
        <v>4</v>
      </c>
      <c r="E22" s="13">
        <f>CHOOSE(Main!$D$1,hare!N22,hare!R22,hare!V22,hare!Z22,hare!I22)</f>
        <v>30</v>
      </c>
      <c r="F22" s="13">
        <f>CHOOSE(Main!$D$1,hare!O22,hare!S22,hare!W22,hare!AA22,hare!J22)</f>
        <v>0</v>
      </c>
      <c r="G22" s="13" t="s">
        <v>146</v>
      </c>
      <c r="H22" s="14" t="e">
        <f>NA()</f>
        <v>#N/A</v>
      </c>
      <c r="I22" s="13"/>
      <c r="J22" s="13"/>
      <c r="K22" s="6"/>
      <c r="L22" s="75" t="s">
        <v>276</v>
      </c>
      <c r="M22" s="76">
        <v>4</v>
      </c>
      <c r="N22" s="76">
        <v>50</v>
      </c>
      <c r="O22" s="13"/>
      <c r="P22" s="76" t="s">
        <v>330</v>
      </c>
      <c r="Q22" s="76">
        <v>3</v>
      </c>
      <c r="R22" s="76">
        <v>30</v>
      </c>
      <c r="S22" s="13"/>
      <c r="T22" s="13" t="s">
        <v>394</v>
      </c>
      <c r="U22" s="13">
        <v>4</v>
      </c>
      <c r="V22" s="13">
        <v>30</v>
      </c>
      <c r="W22" s="13"/>
      <c r="X22" s="13" t="s">
        <v>361</v>
      </c>
      <c r="Y22" s="13">
        <v>3</v>
      </c>
      <c r="Z22" s="14">
        <v>60</v>
      </c>
      <c r="AA22" s="13"/>
      <c r="AB22">
        <v>21</v>
      </c>
      <c r="AC22" t="str">
        <f>SUBSTITUTE(CHOOSE(Main!$A$22,hare!AF22,hare!AH22),0,"")</f>
        <v>QBU-88(active)</v>
      </c>
      <c r="AD22" t="str">
        <f>SUBSTITUTE(CHOOSE(Main!$A$22,hare!AG22,hare!AI22),0,"")</f>
        <v>1</v>
      </c>
      <c r="AF22" s="19" t="s">
        <v>175</v>
      </c>
      <c r="AG22" s="22">
        <v>1</v>
      </c>
      <c r="AH22" s="19"/>
      <c r="AI22" s="22"/>
      <c r="AJ22" s="19" t="s">
        <v>212</v>
      </c>
      <c r="AK22" s="22">
        <v>1</v>
      </c>
    </row>
    <row r="23" spans="1:37">
      <c r="B23" s="16">
        <f t="shared" si="0"/>
        <v>21</v>
      </c>
      <c r="C23" s="13" t="str">
        <f>IF(CHOOSE(Main!$D$1,hare!L23,hare!P23,hare!T23,hare!X23,hare!G23)=0,"",CHOOSE(Main!$D$1,hare!L23,hare!P23,hare!T23,hare!X23,hare!G23))</f>
        <v>Nyto_White_Commander</v>
      </c>
      <c r="D23" s="13">
        <f>IF(CHOOSE(Main!$D$1,hare!M23,hare!Q23,hare!U23,hare!Y23,hare!H23)=0,"",CHOOSE(Main!$D$1,hare!M23,hare!Q23,hare!U23,hare!Y23,hare!H23))</f>
        <v>6</v>
      </c>
      <c r="E23" s="13">
        <f>CHOOSE(Main!$D$1,hare!N23,hare!R23,hare!V23,hare!Z23,hare!I23)</f>
        <v>30</v>
      </c>
      <c r="F23" s="13">
        <f>CHOOSE(Main!$D$1,hare!O23,hare!S23,hare!W23,hare!AA23,hare!J23)</f>
        <v>0</v>
      </c>
      <c r="G23" s="13" t="s">
        <v>147</v>
      </c>
      <c r="H23" s="14" t="e">
        <f>NA()</f>
        <v>#N/A</v>
      </c>
      <c r="I23" s="13"/>
      <c r="J23" s="13"/>
      <c r="K23" s="6"/>
      <c r="L23" s="75" t="s">
        <v>277</v>
      </c>
      <c r="M23" s="76">
        <v>4</v>
      </c>
      <c r="N23" s="76">
        <v>60</v>
      </c>
      <c r="O23" s="13"/>
      <c r="P23" s="76" t="s">
        <v>331</v>
      </c>
      <c r="Q23" s="76">
        <v>5</v>
      </c>
      <c r="R23" s="76">
        <v>50</v>
      </c>
      <c r="S23" s="13"/>
      <c r="T23" s="13" t="s">
        <v>395</v>
      </c>
      <c r="U23" s="13">
        <v>6</v>
      </c>
      <c r="V23" s="13">
        <v>30</v>
      </c>
      <c r="W23" s="13"/>
      <c r="X23" s="13" t="s">
        <v>362</v>
      </c>
      <c r="Y23" s="13">
        <v>7</v>
      </c>
      <c r="Z23" s="14">
        <v>50</v>
      </c>
      <c r="AA23" s="13"/>
      <c r="AB23" s="21">
        <v>22</v>
      </c>
      <c r="AC23" t="str">
        <f>SUBSTITUTE(CHOOSE(Main!$A$22,hare!AF23,hare!AH23),0,"")</f>
        <v>QBU-88(passive)</v>
      </c>
      <c r="AD23" t="str">
        <f>SUBSTITUTE(CHOOSE(Main!$A$22,hare!AG23,hare!AI23),0,"")</f>
        <v>1</v>
      </c>
      <c r="AF23" s="19" t="s">
        <v>176</v>
      </c>
      <c r="AG23" s="22">
        <v>1</v>
      </c>
      <c r="AH23" s="19"/>
      <c r="AI23" s="22"/>
      <c r="AJ23" s="19" t="s">
        <v>213</v>
      </c>
      <c r="AK23" s="22">
        <v>7</v>
      </c>
    </row>
    <row r="24" spans="1:37">
      <c r="B24" s="16">
        <f t="shared" si="0"/>
        <v>22</v>
      </c>
      <c r="C24" s="13" t="str">
        <f>IF(CHOOSE(Main!$D$1,hare!L24,hare!P24,hare!T24,hare!X24,hare!G24)=0,"",CHOOSE(Main!$D$1,hare!L24,hare!P24,hare!T24,hare!X24,hare!G24))</f>
        <v>Obelisk_partA</v>
      </c>
      <c r="D24" s="13">
        <f>IF(CHOOSE(Main!$D$1,hare!M24,hare!Q24,hare!U24,hare!Y24,hare!H24)=0,"",CHOOSE(Main!$D$1,hare!M24,hare!Q24,hare!U24,hare!Y24,hare!H24))</f>
        <v>7</v>
      </c>
      <c r="E24" s="13">
        <f>CHOOSE(Main!$D$1,hare!N24,hare!R24,hare!V24,hare!Z24,hare!I24)</f>
        <v>35</v>
      </c>
      <c r="F24" s="13">
        <f>CHOOSE(Main!$D$1,hare!O24,hare!S24,hare!W24,hare!AA24,hare!J24)</f>
        <v>0</v>
      </c>
      <c r="G24" s="13"/>
      <c r="H24" s="14"/>
      <c r="I24" s="13"/>
      <c r="J24" s="13"/>
      <c r="K24" s="6"/>
      <c r="L24" s="75" t="s">
        <v>278</v>
      </c>
      <c r="M24" s="76">
        <v>4</v>
      </c>
      <c r="N24" s="76">
        <v>50</v>
      </c>
      <c r="O24" s="13"/>
      <c r="P24" s="76" t="s">
        <v>160</v>
      </c>
      <c r="Q24" s="76">
        <v>20</v>
      </c>
      <c r="R24" s="76">
        <v>40</v>
      </c>
      <c r="S24" s="13"/>
      <c r="T24" s="13" t="s">
        <v>396</v>
      </c>
      <c r="U24" s="13">
        <v>7</v>
      </c>
      <c r="V24" s="13">
        <v>35</v>
      </c>
      <c r="W24" s="13"/>
      <c r="X24" s="13" t="s">
        <v>363</v>
      </c>
      <c r="Y24" s="13">
        <v>3</v>
      </c>
      <c r="Z24" s="14">
        <v>35</v>
      </c>
      <c r="AA24" s="13"/>
      <c r="AB24">
        <v>23</v>
      </c>
      <c r="AC24" t="str">
        <f>SUBSTITUTE(CHOOSE(Main!$A$22,hare!AF24,hare!AH24),0,"")</f>
        <v>S.A.T8</v>
      </c>
      <c r="AD24" t="str">
        <f>SUBSTITUTE(CHOOSE(Main!$A$22,hare!AG24,hare!AI24),0,"")</f>
        <v>5</v>
      </c>
      <c r="AF24" s="19" t="s">
        <v>15</v>
      </c>
      <c r="AG24" s="22">
        <v>5</v>
      </c>
      <c r="AH24" s="19"/>
      <c r="AI24" s="22"/>
      <c r="AJ24" s="19" t="s">
        <v>171</v>
      </c>
      <c r="AK24" s="22">
        <v>1</v>
      </c>
    </row>
    <row r="25" spans="1:37">
      <c r="B25" s="16">
        <f t="shared" si="0"/>
        <v>23</v>
      </c>
      <c r="C25" s="13" t="str">
        <f>IF(CHOOSE(Main!$D$1,hare!L25,hare!P25,hare!T25,hare!X25,hare!G25)=0,"",CHOOSE(Main!$D$1,hare!L25,hare!P25,hare!T25,hare!X25,hare!G25))</f>
        <v>Obelisk_partB</v>
      </c>
      <c r="D25" s="13">
        <f>IF(CHOOSE(Main!$D$1,hare!M25,hare!Q25,hare!U25,hare!Y25,hare!H25)=0,"",CHOOSE(Main!$D$1,hare!M25,hare!Q25,hare!U25,hare!Y25,hare!H25))</f>
        <v>7</v>
      </c>
      <c r="E25" s="13">
        <f>CHOOSE(Main!$D$1,hare!N25,hare!R25,hare!V25,hare!Z25,hare!I25)</f>
        <v>25</v>
      </c>
      <c r="F25" s="13">
        <f>CHOOSE(Main!$D$1,hare!O25,hare!S25,hare!W25,hare!AA25,hare!J25)</f>
        <v>0</v>
      </c>
      <c r="G25" s="13"/>
      <c r="H25" s="14"/>
      <c r="I25" s="13"/>
      <c r="J25" s="13"/>
      <c r="K25" s="6"/>
      <c r="L25" s="75" t="s">
        <v>279</v>
      </c>
      <c r="M25" s="76">
        <v>6</v>
      </c>
      <c r="N25" s="76">
        <v>50</v>
      </c>
      <c r="O25" s="13"/>
      <c r="P25" s="76" t="s">
        <v>158</v>
      </c>
      <c r="Q25" s="76">
        <v>4</v>
      </c>
      <c r="R25" s="76">
        <v>20</v>
      </c>
      <c r="S25" s="13"/>
      <c r="T25" s="13" t="s">
        <v>397</v>
      </c>
      <c r="U25" s="13">
        <v>7</v>
      </c>
      <c r="V25" s="13">
        <v>25</v>
      </c>
      <c r="W25" s="13"/>
      <c r="X25" s="13" t="s">
        <v>364</v>
      </c>
      <c r="Y25" s="13">
        <v>7</v>
      </c>
      <c r="Z25" s="14">
        <v>30</v>
      </c>
      <c r="AA25" s="13"/>
      <c r="AB25" s="21">
        <v>24</v>
      </c>
      <c r="AC25" t="str">
        <f>SUBSTITUTE(CHOOSE(Main!$A$22,hare!AF25,hare!AH25),0,"")</f>
        <v>StG44 mod</v>
      </c>
      <c r="AD25" t="str">
        <f>SUBSTITUTE(CHOOSE(Main!$A$22,hare!AG25,hare!AI25),0,"")</f>
        <v>1</v>
      </c>
      <c r="AF25" s="19" t="s">
        <v>29</v>
      </c>
      <c r="AG25" s="22">
        <v>1</v>
      </c>
      <c r="AH25" s="19"/>
      <c r="AI25" s="22"/>
      <c r="AJ25" s="19" t="s">
        <v>137</v>
      </c>
      <c r="AK25" s="22">
        <v>5</v>
      </c>
    </row>
    <row r="26" spans="1:37">
      <c r="B26" s="16">
        <f t="shared" si="0"/>
        <v>24</v>
      </c>
      <c r="C26" s="13" t="str">
        <f>IF(CHOOSE(Main!$D$1,hare!L26,hare!P26,hare!T26,hare!X26,hare!G26)=0,"",CHOOSE(Main!$D$1,hare!L26,hare!P26,hare!T26,hare!X26,hare!G26))</f>
        <v>Punish</v>
      </c>
      <c r="D26" s="13">
        <f>IF(CHOOSE(Main!$D$1,hare!M26,hare!Q26,hare!U26,hare!Y26,hare!H26)=0,"",CHOOSE(Main!$D$1,hare!M26,hare!Q26,hare!U26,hare!Y26,hare!H26))</f>
        <v>3</v>
      </c>
      <c r="E26" s="13">
        <f>CHOOSE(Main!$D$1,hare!N26,hare!R26,hare!V26,hare!Z26,hare!I26)</f>
        <v>25</v>
      </c>
      <c r="F26" s="13">
        <f>CHOOSE(Main!$D$1,hare!O26,hare!S26,hare!W26,hare!AA26,hare!J26)</f>
        <v>0</v>
      </c>
      <c r="G26" s="13"/>
      <c r="H26" s="14"/>
      <c r="I26" s="13"/>
      <c r="J26" s="13"/>
      <c r="K26" s="6"/>
      <c r="L26" s="75" t="s">
        <v>280</v>
      </c>
      <c r="M26" s="76">
        <v>4</v>
      </c>
      <c r="N26" s="76">
        <v>50</v>
      </c>
      <c r="O26" s="13"/>
      <c r="P26" s="76" t="s">
        <v>332</v>
      </c>
      <c r="Q26" s="76">
        <v>4</v>
      </c>
      <c r="R26" s="76">
        <v>20</v>
      </c>
      <c r="S26" s="13"/>
      <c r="T26" s="13" t="s">
        <v>398</v>
      </c>
      <c r="U26" s="13">
        <v>3</v>
      </c>
      <c r="V26" s="13">
        <v>25</v>
      </c>
      <c r="W26" s="13"/>
      <c r="X26" s="13" t="s">
        <v>365</v>
      </c>
      <c r="Y26" s="13">
        <v>6</v>
      </c>
      <c r="Z26" s="14">
        <v>30</v>
      </c>
      <c r="AA26" s="13"/>
      <c r="AB26">
        <v>25</v>
      </c>
      <c r="AC26" t="str">
        <f>SUBSTITUTE(CHOOSE(Main!$A$22,hare!AF26,hare!AH26),0,"")</f>
        <v>UMP9 mod</v>
      </c>
      <c r="AD26" t="str">
        <f>SUBSTITUTE(CHOOSE(Main!$A$22,hare!AG26,hare!AI26),0,"")</f>
        <v>5</v>
      </c>
      <c r="AF26" s="19" t="s">
        <v>28</v>
      </c>
      <c r="AG26" s="22">
        <v>5</v>
      </c>
      <c r="AH26" s="19"/>
      <c r="AI26" s="22"/>
      <c r="AJ26" s="19" t="s">
        <v>161</v>
      </c>
      <c r="AK26" s="22">
        <v>7</v>
      </c>
    </row>
    <row r="27" spans="1:37">
      <c r="B27" s="16">
        <f t="shared" si="0"/>
        <v>25</v>
      </c>
      <c r="C27" s="13" t="str">
        <f>IF(CHOOSE(Main!$D$1,hare!L27,hare!P27,hare!T27,hare!X27,hare!G27)=0,"",CHOOSE(Main!$D$1,hare!L27,hare!P27,hare!T27,hare!X27,hare!G27))</f>
        <v>Pyxis</v>
      </c>
      <c r="D27" s="13">
        <f>IF(CHOOSE(Main!$D$1,hare!M27,hare!Q27,hare!U27,hare!Y27,hare!H27)=0,"",CHOOSE(Main!$D$1,hare!M27,hare!Q27,hare!U27,hare!Y27,hare!H27))</f>
        <v>15</v>
      </c>
      <c r="E27" s="13">
        <f>CHOOSE(Main!$D$1,hare!N27,hare!R27,hare!V27,hare!Z27,hare!I27)</f>
        <v>0</v>
      </c>
      <c r="F27" s="13">
        <f>CHOOSE(Main!$D$1,hare!O27,hare!S27,hare!W27,hare!AA27,hare!J27)</f>
        <v>0</v>
      </c>
      <c r="G27" s="13"/>
      <c r="H27" s="14"/>
      <c r="I27" s="15"/>
      <c r="J27" s="15"/>
      <c r="K27" s="1"/>
      <c r="L27" s="75" t="s">
        <v>281</v>
      </c>
      <c r="M27" s="76">
        <v>20</v>
      </c>
      <c r="N27" s="76">
        <v>60</v>
      </c>
      <c r="O27" s="13"/>
      <c r="P27" s="76" t="s">
        <v>333</v>
      </c>
      <c r="Q27" s="76">
        <v>20</v>
      </c>
      <c r="R27" s="76">
        <v>40</v>
      </c>
      <c r="S27" s="13"/>
      <c r="T27" s="13" t="s">
        <v>156</v>
      </c>
      <c r="U27" s="13">
        <v>15</v>
      </c>
      <c r="V27" s="13">
        <v>0</v>
      </c>
      <c r="W27" s="13"/>
      <c r="X27" s="13" t="s">
        <v>366</v>
      </c>
      <c r="Y27" s="13">
        <v>6</v>
      </c>
      <c r="Z27" s="14">
        <v>30</v>
      </c>
      <c r="AA27" s="8"/>
      <c r="AB27" s="21">
        <v>26</v>
      </c>
      <c r="AC27" t="str">
        <f>SUBSTITUTE(CHOOSE(Main!$A$22,hare!AF27,hare!AH27),0,"")</f>
        <v>Zas M21</v>
      </c>
      <c r="AD27" t="str">
        <f>SUBSTITUTE(CHOOSE(Main!$A$22,hare!AG27,hare!AI27),0,"")</f>
        <v>1</v>
      </c>
      <c r="AF27" s="19" t="s">
        <v>11</v>
      </c>
      <c r="AG27" s="22">
        <v>1</v>
      </c>
      <c r="AH27" s="19"/>
      <c r="AI27" s="22"/>
      <c r="AJ27" s="19" t="s">
        <v>157</v>
      </c>
      <c r="AK27" s="22">
        <v>7</v>
      </c>
    </row>
    <row r="28" spans="1:37">
      <c r="B28" s="16">
        <f t="shared" si="0"/>
        <v>26</v>
      </c>
      <c r="C28" s="13" t="str">
        <f>IF(CHOOSE(Main!$D$1,hare!L28,hare!P28,hare!T28,hare!X28,hare!G28)=0,"",CHOOSE(Main!$D$1,hare!L28,hare!P28,hare!T28,hare!X28,hare!G28))</f>
        <v>Riotguard</v>
      </c>
      <c r="D28" s="13">
        <f>IF(CHOOSE(Main!$D$1,hare!M28,hare!Q28,hare!U28,hare!Y28,hare!H28)=0,"",CHOOSE(Main!$D$1,hare!M28,hare!Q28,hare!U28,hare!Y28,hare!H28))</f>
        <v>3</v>
      </c>
      <c r="E28" s="13">
        <f>CHOOSE(Main!$D$1,hare!N28,hare!R28,hare!V28,hare!Z28,hare!I28)</f>
        <v>30</v>
      </c>
      <c r="F28" s="13">
        <f>CHOOSE(Main!$D$1,hare!O28,hare!S28,hare!W28,hare!AA28,hare!J28)</f>
        <v>0</v>
      </c>
      <c r="G28" s="13"/>
      <c r="H28" s="14"/>
      <c r="I28" s="15"/>
      <c r="J28" s="15"/>
      <c r="K28" s="1"/>
      <c r="L28" s="75" t="s">
        <v>282</v>
      </c>
      <c r="M28" s="76">
        <v>1</v>
      </c>
      <c r="N28" s="76">
        <v>40</v>
      </c>
      <c r="O28" s="13"/>
      <c r="P28" s="76" t="s">
        <v>334</v>
      </c>
      <c r="Q28" s="76">
        <v>3</v>
      </c>
      <c r="R28" s="76">
        <v>35</v>
      </c>
      <c r="S28" s="13"/>
      <c r="T28" s="13" t="s">
        <v>399</v>
      </c>
      <c r="U28" s="13">
        <v>3</v>
      </c>
      <c r="V28" s="13">
        <v>30</v>
      </c>
      <c r="W28" s="13"/>
      <c r="X28" s="13" t="s">
        <v>367</v>
      </c>
      <c r="Y28" s="13">
        <v>9</v>
      </c>
      <c r="Z28" s="14">
        <v>30</v>
      </c>
      <c r="AA28" s="8"/>
      <c r="AB28">
        <v>27</v>
      </c>
      <c r="AC28" t="str">
        <f>SUBSTITUTE(CHOOSE(Main!$A$22,hare!AF28,hare!AH28),0,"")</f>
        <v>Ribeyrolles</v>
      </c>
      <c r="AD28" t="str">
        <f>SUBSTITUTE(CHOOSE(Main!$A$22,hare!AG28,hare!AI28),0,"")</f>
        <v>2</v>
      </c>
      <c r="AF28" s="19" t="s">
        <v>177</v>
      </c>
      <c r="AG28" s="22">
        <v>2</v>
      </c>
      <c r="AH28" s="19"/>
      <c r="AI28" s="22"/>
      <c r="AJ28" s="19" t="s">
        <v>159</v>
      </c>
      <c r="AK28" s="22">
        <v>1</v>
      </c>
    </row>
    <row r="29" spans="1:37">
      <c r="B29" s="16">
        <f t="shared" si="0"/>
        <v>27</v>
      </c>
      <c r="C29" s="13" t="str">
        <f>IF(CHOOSE(Main!$D$1,hare!L29,hare!P29,hare!T29,hare!X29,hare!G29)=0,"",CHOOSE(Main!$D$1,hare!L29,hare!P29,hare!T29,hare!X29,hare!G29))</f>
        <v>Roarer</v>
      </c>
      <c r="D29" s="13">
        <f>IF(CHOOSE(Main!$D$1,hare!M29,hare!Q29,hare!U29,hare!Y29,hare!H29)=0,"",CHOOSE(Main!$D$1,hare!M29,hare!Q29,hare!U29,hare!Y29,hare!H29))</f>
        <v>3</v>
      </c>
      <c r="E29" s="13">
        <f>CHOOSE(Main!$D$1,hare!N29,hare!R29,hare!V29,hare!Z29,hare!I29)</f>
        <v>30</v>
      </c>
      <c r="F29" s="13">
        <f>CHOOSE(Main!$D$1,hare!O29,hare!S29,hare!W29,hare!AA29,hare!J29)</f>
        <v>0</v>
      </c>
      <c r="G29" s="13"/>
      <c r="H29" s="14"/>
      <c r="I29" s="15"/>
      <c r="J29" s="15"/>
      <c r="K29" s="1"/>
      <c r="L29" s="75" t="s">
        <v>283</v>
      </c>
      <c r="M29" s="76">
        <v>1</v>
      </c>
      <c r="N29" s="76">
        <v>40</v>
      </c>
      <c r="O29" s="13"/>
      <c r="P29" s="76" t="s">
        <v>162</v>
      </c>
      <c r="Q29" s="76">
        <v>3</v>
      </c>
      <c r="R29" s="76">
        <v>18</v>
      </c>
      <c r="S29" s="13"/>
      <c r="T29" s="13" t="s">
        <v>400</v>
      </c>
      <c r="U29" s="13">
        <v>3</v>
      </c>
      <c r="V29" s="13">
        <v>30</v>
      </c>
      <c r="W29" s="13"/>
      <c r="X29" s="13" t="s">
        <v>368</v>
      </c>
      <c r="Y29" s="13">
        <v>5</v>
      </c>
      <c r="Z29" s="14">
        <v>60</v>
      </c>
      <c r="AA29" s="8"/>
      <c r="AB29" s="21">
        <v>28</v>
      </c>
      <c r="AC29" t="str">
        <f>SUBSTITUTE(CHOOSE(Main!$A$22,hare!AF29,hare!AH29),0,"")</f>
        <v>Killing Grenade</v>
      </c>
      <c r="AD29" t="str">
        <f>SUBSTITUTE(CHOOSE(Main!$A$22,hare!AG29,hare!AI29),0,"")</f>
        <v>1</v>
      </c>
      <c r="AF29" s="19" t="s">
        <v>182</v>
      </c>
      <c r="AG29" s="22">
        <v>1</v>
      </c>
      <c r="AH29" s="19"/>
      <c r="AI29" s="22"/>
      <c r="AJ29" s="19" t="s">
        <v>214</v>
      </c>
      <c r="AK29" s="22"/>
    </row>
    <row r="30" spans="1:37">
      <c r="B30" s="16">
        <f t="shared" si="0"/>
        <v>28</v>
      </c>
      <c r="C30" s="13" t="str">
        <f>IF(CHOOSE(Main!$D$1,hare!L30,hare!P30,hare!T30,hare!X30,hare!G30)=0,"",CHOOSE(Main!$D$1,hare!L30,hare!P30,hare!T30,hare!X30,hare!G30))</f>
        <v>Roarer_New</v>
      </c>
      <c r="D30" s="13">
        <f>IF(CHOOSE(Main!$D$1,hare!M30,hare!Q30,hare!U30,hare!Y30,hare!H30)=0,"",CHOOSE(Main!$D$1,hare!M30,hare!Q30,hare!U30,hare!Y30,hare!H30))</f>
        <v>3</v>
      </c>
      <c r="E30" s="13">
        <f>CHOOSE(Main!$D$1,hare!N30,hare!R30,hare!V30,hare!Z30,hare!I30)</f>
        <v>30</v>
      </c>
      <c r="F30" s="13">
        <f>CHOOSE(Main!$D$1,hare!O30,hare!S30,hare!W30,hare!AA30,hare!J30)</f>
        <v>0</v>
      </c>
      <c r="G30" s="13"/>
      <c r="H30" s="14"/>
      <c r="I30" s="15"/>
      <c r="J30" s="15"/>
      <c r="K30" s="1"/>
      <c r="L30" s="75" t="s">
        <v>153</v>
      </c>
      <c r="M30" s="76">
        <v>3</v>
      </c>
      <c r="N30" s="76">
        <v>30</v>
      </c>
      <c r="O30" s="13"/>
      <c r="P30" s="76" t="s">
        <v>335</v>
      </c>
      <c r="Q30" s="76">
        <v>3</v>
      </c>
      <c r="R30" s="76">
        <v>18</v>
      </c>
      <c r="S30" s="13"/>
      <c r="T30" s="13" t="s">
        <v>401</v>
      </c>
      <c r="U30" s="13">
        <v>3</v>
      </c>
      <c r="V30" s="13">
        <v>30</v>
      </c>
      <c r="W30" s="13"/>
      <c r="X30" s="13" t="s">
        <v>369</v>
      </c>
      <c r="Y30" s="13">
        <v>6</v>
      </c>
      <c r="Z30" s="14">
        <v>30</v>
      </c>
      <c r="AA30" s="8"/>
      <c r="AB30">
        <v>29</v>
      </c>
      <c r="AC30" t="str">
        <f>SUBSTITUTE(CHOOSE(Main!$A$22,hare!AF30,hare!AH30),0,"")</f>
        <v>Flashbang</v>
      </c>
      <c r="AD30" t="str">
        <f>SUBSTITUTE(CHOOSE(Main!$A$22,hare!AG30,hare!AI30),0,"")</f>
        <v>1</v>
      </c>
      <c r="AF30" s="19" t="s">
        <v>179</v>
      </c>
      <c r="AG30" s="22">
        <v>1</v>
      </c>
      <c r="AH30" s="19"/>
      <c r="AI30" s="22"/>
      <c r="AJ30" s="19" t="s">
        <v>158</v>
      </c>
      <c r="AK30" s="22">
        <v>7</v>
      </c>
    </row>
    <row r="31" spans="1:37">
      <c r="B31" s="16">
        <f t="shared" si="0"/>
        <v>29</v>
      </c>
      <c r="C31" s="13" t="str">
        <f>IF(CHOOSE(Main!$D$1,hare!L31,hare!P31,hare!T31,hare!X31,hare!G31)=0,"",CHOOSE(Main!$D$1,hare!L31,hare!P31,hare!T31,hare!X31,hare!G31))</f>
        <v>Roarer_swimsuit</v>
      </c>
      <c r="D31" s="13">
        <f>IF(CHOOSE(Main!$D$1,hare!M31,hare!Q31,hare!U31,hare!Y31,hare!H31)=0,"",CHOOSE(Main!$D$1,hare!M31,hare!Q31,hare!U31,hare!Y31,hare!H31))</f>
        <v>3</v>
      </c>
      <c r="E31" s="13">
        <f>CHOOSE(Main!$D$1,hare!N31,hare!R31,hare!V31,hare!Z31,hare!I31)</f>
        <v>30</v>
      </c>
      <c r="F31" s="13">
        <f>CHOOSE(Main!$D$1,hare!O31,hare!S31,hare!W31,hare!AA31,hare!J31)</f>
        <v>0</v>
      </c>
      <c r="G31" s="13"/>
      <c r="H31" s="14"/>
      <c r="I31" s="15"/>
      <c r="J31" s="15"/>
      <c r="K31" s="1"/>
      <c r="L31" s="75" t="s">
        <v>284</v>
      </c>
      <c r="M31" s="76">
        <v>3</v>
      </c>
      <c r="N31" s="76">
        <v>30</v>
      </c>
      <c r="O31" s="13"/>
      <c r="P31" s="76" t="s">
        <v>336</v>
      </c>
      <c r="Q31" s="76">
        <v>3</v>
      </c>
      <c r="R31" s="76">
        <v>18</v>
      </c>
      <c r="S31" s="13"/>
      <c r="T31" s="13" t="s">
        <v>402</v>
      </c>
      <c r="U31" s="13">
        <v>3</v>
      </c>
      <c r="V31" s="13">
        <v>30</v>
      </c>
      <c r="W31" s="13"/>
      <c r="X31" s="13" t="s">
        <v>370</v>
      </c>
      <c r="Y31" s="13">
        <v>5</v>
      </c>
      <c r="Z31" s="14">
        <v>50</v>
      </c>
      <c r="AA31" s="8"/>
      <c r="AB31" s="21">
        <v>30</v>
      </c>
      <c r="AC31" t="str">
        <f>SUBSTITUTE(CHOOSE(Main!$A$22,hare!AF31,hare!AH31),0,"")</f>
        <v>Incendiary Bomb</v>
      </c>
      <c r="AD31" t="str">
        <f>SUBSTITUTE(CHOOSE(Main!$A$22,hare!AG31,hare!AI31),0,"")</f>
        <v>1</v>
      </c>
      <c r="AF31" s="19" t="s">
        <v>181</v>
      </c>
      <c r="AG31" s="22">
        <v>1</v>
      </c>
      <c r="AH31" s="22"/>
      <c r="AI31" s="22"/>
    </row>
    <row r="32" spans="1:37">
      <c r="B32" s="16">
        <f t="shared" si="0"/>
        <v>30</v>
      </c>
      <c r="C32" s="13" t="str">
        <f>IF(CHOOSE(Main!$D$1,hare!L32,hare!P32,hare!T32,hare!X32,hare!G32)=0,"",CHOOSE(Main!$D$1,hare!L32,hare!P32,hare!T32,hare!X32,hare!G32))</f>
        <v>Rodelero</v>
      </c>
      <c r="D32" s="13">
        <f>IF(CHOOSE(Main!$D$1,hare!M32,hare!Q32,hare!U32,hare!Y32,hare!H32)=0,"",CHOOSE(Main!$D$1,hare!M32,hare!Q32,hare!U32,hare!Y32,hare!H32))</f>
        <v>7</v>
      </c>
      <c r="E32" s="13">
        <f>CHOOSE(Main!$D$1,hare!N32,hare!R32,hare!V32,hare!Z32,hare!I32)</f>
        <v>35</v>
      </c>
      <c r="F32" s="13">
        <f>CHOOSE(Main!$D$1,hare!O32,hare!S32,hare!W32,hare!AA32,hare!J32)</f>
        <v>0</v>
      </c>
      <c r="G32" s="13"/>
      <c r="H32" s="14"/>
      <c r="I32" s="15"/>
      <c r="J32" s="15"/>
      <c r="K32" s="1"/>
      <c r="L32" s="75" t="s">
        <v>285</v>
      </c>
      <c r="M32" s="76">
        <v>3</v>
      </c>
      <c r="N32" s="76">
        <v>30</v>
      </c>
      <c r="O32" s="13"/>
      <c r="P32" s="76" t="s">
        <v>337</v>
      </c>
      <c r="Q32" s="76">
        <v>20</v>
      </c>
      <c r="R32" s="76">
        <v>40</v>
      </c>
      <c r="S32" s="13"/>
      <c r="T32" s="13" t="s">
        <v>163</v>
      </c>
      <c r="U32" s="13">
        <v>7</v>
      </c>
      <c r="V32" s="13">
        <v>35</v>
      </c>
      <c r="W32" s="13"/>
      <c r="X32" s="13" t="s">
        <v>371</v>
      </c>
      <c r="Y32" s="13">
        <v>5</v>
      </c>
      <c r="Z32" s="14">
        <v>40</v>
      </c>
      <c r="AA32" s="1"/>
      <c r="AB32">
        <v>31</v>
      </c>
      <c r="AC32" t="str">
        <f>SUBSTITUTE(CHOOSE(Main!$A$22,hare!AF32,hare!AH32),0,"")</f>
        <v>Grenade</v>
      </c>
      <c r="AD32" t="str">
        <f>SUBSTITUTE(CHOOSE(Main!$A$22,hare!AG32,hare!AI32),0,"")</f>
        <v>1</v>
      </c>
      <c r="AF32" s="19" t="s">
        <v>180</v>
      </c>
      <c r="AG32" s="19">
        <v>1</v>
      </c>
      <c r="AH32" s="22"/>
      <c r="AI32" s="22"/>
    </row>
    <row r="33" spans="2:35">
      <c r="B33" s="16">
        <f t="shared" si="0"/>
        <v>31</v>
      </c>
      <c r="C33" s="13" t="str">
        <f>IF(CHOOSE(Main!$D$1,hare!L33,hare!P33,hare!T33,hare!X33,hare!G33)=0,"",CHOOSE(Main!$D$1,hare!L33,hare!P33,hare!T33,hare!X33,hare!G33))</f>
        <v>Rodelero_swimsuit</v>
      </c>
      <c r="D33" s="13">
        <f>IF(CHOOSE(Main!$D$1,hare!M33,hare!Q33,hare!U33,hare!Y33,hare!H33)=0,"",CHOOSE(Main!$D$1,hare!M33,hare!Q33,hare!U33,hare!Y33,hare!H33))</f>
        <v>7</v>
      </c>
      <c r="E33" s="13">
        <f>CHOOSE(Main!$D$1,hare!N33,hare!R33,hare!V33,hare!Z33,hare!I33)</f>
        <v>35</v>
      </c>
      <c r="F33" s="13">
        <f>CHOOSE(Main!$D$1,hare!O33,hare!S33,hare!W33,hare!AA33,hare!J33)</f>
        <v>0</v>
      </c>
      <c r="G33" s="13"/>
      <c r="H33" s="14"/>
      <c r="I33" s="15"/>
      <c r="J33" s="15"/>
      <c r="K33" s="1"/>
      <c r="L33" s="75" t="s">
        <v>286</v>
      </c>
      <c r="M33" s="76">
        <v>7</v>
      </c>
      <c r="N33" s="76">
        <v>35</v>
      </c>
      <c r="O33" s="13"/>
      <c r="P33" s="76" t="s">
        <v>338</v>
      </c>
      <c r="Q33" s="76">
        <v>15</v>
      </c>
      <c r="R33" s="76">
        <v>0</v>
      </c>
      <c r="S33" s="13"/>
      <c r="T33" s="13" t="s">
        <v>403</v>
      </c>
      <c r="U33" s="13">
        <v>7</v>
      </c>
      <c r="V33" s="13">
        <v>35</v>
      </c>
      <c r="W33" s="13"/>
      <c r="X33" s="13" t="s">
        <v>372</v>
      </c>
      <c r="Y33" s="13">
        <v>6</v>
      </c>
      <c r="Z33" s="14">
        <v>30</v>
      </c>
      <c r="AA33" s="1"/>
      <c r="AB33" s="21">
        <v>32</v>
      </c>
      <c r="AC33" t="str">
        <f>SUBSTITUTE(CHOOSE(Main!$A$22,hare!AF33,hare!AH33),0,"")</f>
        <v>Smoke Grenade (fire)</v>
      </c>
      <c r="AD33" t="str">
        <f>SUBSTITUTE(CHOOSE(Main!$A$22,hare!AG33,hare!AI33),0,"")</f>
        <v>1</v>
      </c>
      <c r="AF33" s="19" t="s">
        <v>243</v>
      </c>
      <c r="AG33" s="19">
        <v>1</v>
      </c>
      <c r="AH33" s="22"/>
      <c r="AI33" s="22"/>
    </row>
    <row r="34" spans="2:35">
      <c r="B34" s="16">
        <f t="shared" si="0"/>
        <v>32</v>
      </c>
      <c r="C34" s="13" t="str">
        <f>IF(CHOOSE(Main!$D$1,hare!L34,hare!P34,hare!T34,hare!X34,hare!G34)=0,"",CHOOSE(Main!$D$1,hare!L34,hare!P34,hare!T34,hare!X34,hare!G34))</f>
        <v>Soldier_New</v>
      </c>
      <c r="D34" s="13">
        <f>IF(CHOOSE(Main!$D$1,hare!M34,hare!Q34,hare!U34,hare!Y34,hare!H34)=0,"",CHOOSE(Main!$D$1,hare!M34,hare!Q34,hare!U34,hare!Y34,hare!H34))</f>
        <v>7</v>
      </c>
      <c r="E34" s="13">
        <f>CHOOSE(Main!$D$1,hare!N34,hare!R34,hare!V34,hare!Z34,hare!I34)</f>
        <v>25</v>
      </c>
      <c r="F34" s="13">
        <f>CHOOSE(Main!$D$1,hare!O34,hare!S34,hare!W34,hare!AA34,hare!J34)</f>
        <v>0</v>
      </c>
      <c r="G34" s="13"/>
      <c r="H34" s="14"/>
      <c r="I34" s="15"/>
      <c r="J34" s="15"/>
      <c r="K34" s="1"/>
      <c r="L34" s="75" t="s">
        <v>287</v>
      </c>
      <c r="M34" s="76">
        <v>6</v>
      </c>
      <c r="N34" s="76">
        <v>35</v>
      </c>
      <c r="O34" s="13"/>
      <c r="P34" s="76" t="s">
        <v>339</v>
      </c>
      <c r="Q34" s="76">
        <v>15</v>
      </c>
      <c r="R34" s="76">
        <v>0</v>
      </c>
      <c r="S34" s="13"/>
      <c r="T34" s="13" t="s">
        <v>404</v>
      </c>
      <c r="U34" s="13">
        <v>7</v>
      </c>
      <c r="V34" s="13">
        <v>25</v>
      </c>
      <c r="W34" s="13"/>
      <c r="X34" s="13" t="s">
        <v>373</v>
      </c>
      <c r="Y34" s="13">
        <v>2</v>
      </c>
      <c r="Z34" s="14">
        <v>100</v>
      </c>
      <c r="AA34" s="1"/>
      <c r="AB34">
        <v>33</v>
      </c>
      <c r="AC34" t="str">
        <f>SUBSTITUTE(CHOOSE(Main!$A$22,hare!AF34,hare!AH34),0,"")</f>
        <v>Smoke Grenade (transfer)</v>
      </c>
      <c r="AD34" t="str">
        <f>SUBSTITUTE(CHOOSE(Main!$A$22,hare!AG34,hare!AI34),0,"")</f>
        <v>1</v>
      </c>
      <c r="AF34" s="19" t="s">
        <v>244</v>
      </c>
      <c r="AG34" s="19">
        <v>1</v>
      </c>
      <c r="AH34" s="22"/>
      <c r="AI34" s="22"/>
    </row>
    <row r="35" spans="2:35">
      <c r="B35" s="16">
        <f t="shared" si="0"/>
        <v>33</v>
      </c>
      <c r="C35" s="13" t="str">
        <f>IF(CHOOSE(Main!$D$1,hare!L35,hare!P35,hare!T35,hare!X35,hare!G35)=0,"",CHOOSE(Main!$D$1,hare!L35,hare!P35,hare!T35,hare!X35,hare!G35))</f>
        <v>Strelet1</v>
      </c>
      <c r="D35" s="13">
        <f>IF(CHOOSE(Main!$D$1,hare!M35,hare!Q35,hare!U35,hare!Y35,hare!H35)=0,"",CHOOSE(Main!$D$1,hare!M35,hare!Q35,hare!U35,hare!Y35,hare!H35))</f>
        <v>6</v>
      </c>
      <c r="E35" s="13">
        <f>CHOOSE(Main!$D$1,hare!N35,hare!R35,hare!V35,hare!Z35,hare!I35)</f>
        <v>35</v>
      </c>
      <c r="F35" s="13">
        <f>CHOOSE(Main!$D$1,hare!O35,hare!S35,hare!W35,hare!AA35,hare!J35)</f>
        <v>0</v>
      </c>
      <c r="G35" s="13"/>
      <c r="H35" s="14"/>
      <c r="I35" s="15"/>
      <c r="J35" s="15"/>
      <c r="K35" s="1"/>
      <c r="L35" s="75" t="s">
        <v>288</v>
      </c>
      <c r="M35" s="76">
        <v>7</v>
      </c>
      <c r="N35" s="76">
        <v>35</v>
      </c>
      <c r="O35" s="13"/>
      <c r="P35" s="76" t="s">
        <v>340</v>
      </c>
      <c r="Q35" s="76">
        <v>15</v>
      </c>
      <c r="R35" s="76">
        <v>0</v>
      </c>
      <c r="S35" s="13"/>
      <c r="T35" s="13" t="s">
        <v>405</v>
      </c>
      <c r="U35" s="13">
        <v>6</v>
      </c>
      <c r="V35" s="13">
        <v>35</v>
      </c>
      <c r="W35" s="13"/>
      <c r="X35" s="13" t="s">
        <v>374</v>
      </c>
      <c r="Y35" s="13">
        <v>3</v>
      </c>
      <c r="Z35" s="14">
        <v>50</v>
      </c>
      <c r="AA35" s="1"/>
      <c r="AB35" s="21">
        <v>34</v>
      </c>
      <c r="AC35" t="str">
        <f>SUBSTITUTE(CHOOSE(Main!$A$22,hare!AF35,hare!AH35),0,"")</f>
        <v>Jericho</v>
      </c>
      <c r="AD35" t="str">
        <f>SUBSTITUTE(CHOOSE(Main!$A$22,hare!AG35,hare!AI35),0,"")</f>
        <v>2</v>
      </c>
      <c r="AF35" s="19" t="s">
        <v>185</v>
      </c>
      <c r="AG35" s="19">
        <v>2</v>
      </c>
      <c r="AH35" s="22"/>
      <c r="AI35" s="22"/>
    </row>
    <row r="36" spans="2:35">
      <c r="B36" s="16">
        <f t="shared" si="0"/>
        <v>34</v>
      </c>
      <c r="C36" s="13" t="str">
        <f>IF(CHOOSE(Main!$D$1,hare!L36,hare!P36,hare!T36,hare!X36,hare!G36)=0,"",CHOOSE(Main!$D$1,hare!L36,hare!P36,hare!T36,hare!X36,hare!G36))</f>
        <v>Strelet2</v>
      </c>
      <c r="D36" s="13">
        <f>IF(CHOOSE(Main!$D$1,hare!M36,hare!Q36,hare!U36,hare!Y36,hare!H36)=0,"",CHOOSE(Main!$D$1,hare!M36,hare!Q36,hare!U36,hare!Y36,hare!H36))</f>
        <v>5</v>
      </c>
      <c r="E36" s="13">
        <f>CHOOSE(Main!$D$1,hare!N36,hare!R36,hare!V36,hare!Z36,hare!I36)</f>
        <v>30</v>
      </c>
      <c r="F36" s="13">
        <f>CHOOSE(Main!$D$1,hare!O36,hare!S36,hare!W36,hare!AA36,hare!J36)</f>
        <v>0</v>
      </c>
      <c r="G36" s="13"/>
      <c r="H36" s="14"/>
      <c r="I36" s="15"/>
      <c r="J36" s="15"/>
      <c r="K36" s="1"/>
      <c r="L36" s="75" t="s">
        <v>289</v>
      </c>
      <c r="M36" s="76">
        <v>9</v>
      </c>
      <c r="N36" s="76">
        <v>30</v>
      </c>
      <c r="O36" s="13"/>
      <c r="P36" s="76" t="s">
        <v>341</v>
      </c>
      <c r="Q36" s="76">
        <v>2</v>
      </c>
      <c r="R36" s="76">
        <v>30</v>
      </c>
      <c r="S36" s="13"/>
      <c r="T36" s="13" t="s">
        <v>406</v>
      </c>
      <c r="U36" s="13">
        <v>5</v>
      </c>
      <c r="V36" s="13">
        <v>30</v>
      </c>
      <c r="W36" s="13"/>
      <c r="X36" s="13" t="s">
        <v>375</v>
      </c>
      <c r="Y36" s="13">
        <v>3</v>
      </c>
      <c r="Z36" s="14">
        <v>200</v>
      </c>
      <c r="AA36" s="1"/>
      <c r="AB36">
        <v>35</v>
      </c>
      <c r="AC36" t="str">
        <f>SUBSTITUTE(CHOOSE(Main!$A$22,hare!AF36,hare!AH36),0,"")</f>
        <v>Colt Python</v>
      </c>
      <c r="AD36" t="str">
        <f>SUBSTITUTE(CHOOSE(Main!$A$22,hare!AG36,hare!AI36),0,"")</f>
        <v>2</v>
      </c>
      <c r="AF36" s="19" t="s">
        <v>189</v>
      </c>
      <c r="AG36" s="19">
        <v>2</v>
      </c>
      <c r="AH36" s="22"/>
      <c r="AI36" s="22"/>
    </row>
    <row r="37" spans="2:35">
      <c r="B37" s="16">
        <f t="shared" si="0"/>
        <v>35</v>
      </c>
      <c r="C37" s="13" t="str">
        <f>IF(CHOOSE(Main!$D$1,hare!L37,hare!P37,hare!T37,hare!X37,hare!G37)=0,"",CHOOSE(Main!$D$1,hare!L37,hare!P37,hare!T37,hare!X37,hare!G37))</f>
        <v>StreletPlus</v>
      </c>
      <c r="D37" s="13">
        <f>IF(CHOOSE(Main!$D$1,hare!M37,hare!Q37,hare!U37,hare!Y37,hare!H37)=0,"",CHOOSE(Main!$D$1,hare!M37,hare!Q37,hare!U37,hare!Y37,hare!H37))</f>
        <v>7</v>
      </c>
      <c r="E37" s="13">
        <f>CHOOSE(Main!$D$1,hare!N37,hare!R37,hare!V37,hare!Z37,hare!I37)</f>
        <v>25</v>
      </c>
      <c r="F37" s="13">
        <f>CHOOSE(Main!$D$1,hare!O37,hare!S37,hare!W37,hare!AA37,hare!J37)</f>
        <v>0</v>
      </c>
      <c r="G37" s="13"/>
      <c r="H37" s="14"/>
      <c r="I37" s="15"/>
      <c r="J37" s="15"/>
      <c r="K37" s="1"/>
      <c r="L37" s="75" t="s">
        <v>290</v>
      </c>
      <c r="M37" s="76">
        <v>9</v>
      </c>
      <c r="N37" s="76">
        <v>30</v>
      </c>
      <c r="O37" s="13"/>
      <c r="P37" s="76" t="s">
        <v>159</v>
      </c>
      <c r="Q37" s="76">
        <v>20</v>
      </c>
      <c r="R37" s="76">
        <v>35</v>
      </c>
      <c r="S37" s="13"/>
      <c r="T37" s="13" t="s">
        <v>407</v>
      </c>
      <c r="U37" s="13">
        <v>7</v>
      </c>
      <c r="V37" s="13">
        <v>25</v>
      </c>
      <c r="W37" s="13"/>
      <c r="X37" s="13" t="s">
        <v>376</v>
      </c>
      <c r="Y37" s="13">
        <v>3</v>
      </c>
      <c r="Z37" s="14">
        <v>150</v>
      </c>
      <c r="AA37" s="1"/>
      <c r="AB37" s="21">
        <v>36</v>
      </c>
      <c r="AC37" t="str">
        <f>SUBSTITUTE(CHOOSE(Main!$A$22,hare!AF37,hare!AH37),0,"")</f>
        <v>Burst Grenade</v>
      </c>
      <c r="AD37" t="str">
        <f>SUBSTITUTE(CHOOSE(Main!$A$22,hare!AG37,hare!AI37),0,"")</f>
        <v>1</v>
      </c>
      <c r="AF37" s="19" t="s">
        <v>195</v>
      </c>
      <c r="AG37" s="19">
        <v>1</v>
      </c>
      <c r="AH37" s="22"/>
      <c r="AI37" s="22"/>
    </row>
    <row r="38" spans="2:35">
      <c r="B38" s="16">
        <f t="shared" si="0"/>
        <v>36</v>
      </c>
      <c r="C38" s="13" t="str">
        <f>IF(CHOOSE(Main!$D$1,hare!L38,hare!P38,hare!T38,hare!X38,hare!G38)=0,"",CHOOSE(Main!$D$1,hare!L38,hare!P38,hare!T38,hare!X38,hare!G38))</f>
        <v>StreletPlus_swimsuit</v>
      </c>
      <c r="D38" s="13">
        <f>IF(CHOOSE(Main!$D$1,hare!M38,hare!Q38,hare!U38,hare!Y38,hare!H38)=0,"",CHOOSE(Main!$D$1,hare!M38,hare!Q38,hare!U38,hare!Y38,hare!H38))</f>
        <v>7</v>
      </c>
      <c r="E38" s="13">
        <f>CHOOSE(Main!$D$1,hare!N38,hare!R38,hare!V38,hare!Z38,hare!I38)</f>
        <v>25</v>
      </c>
      <c r="F38" s="13">
        <f>CHOOSE(Main!$D$1,hare!O38,hare!S38,hare!W38,hare!AA38,hare!J38)</f>
        <v>0</v>
      </c>
      <c r="G38" s="13"/>
      <c r="H38" s="14"/>
      <c r="I38" s="15"/>
      <c r="J38" s="15"/>
      <c r="K38" s="1"/>
      <c r="L38" s="75" t="s">
        <v>151</v>
      </c>
      <c r="M38" s="76">
        <v>20</v>
      </c>
      <c r="N38" s="76">
        <v>35</v>
      </c>
      <c r="O38" s="13"/>
      <c r="P38" s="76"/>
      <c r="Q38" s="76"/>
      <c r="R38" s="76"/>
      <c r="S38" s="13"/>
      <c r="T38" s="13" t="s">
        <v>408</v>
      </c>
      <c r="U38" s="13">
        <v>7</v>
      </c>
      <c r="V38" s="13">
        <v>25</v>
      </c>
      <c r="W38" s="13"/>
      <c r="X38" s="13" t="s">
        <v>377</v>
      </c>
      <c r="Y38" s="13">
        <v>3</v>
      </c>
      <c r="Z38" s="14">
        <v>30</v>
      </c>
      <c r="AA38" s="1"/>
      <c r="AB38" s="22">
        <v>37</v>
      </c>
      <c r="AC38" t="str">
        <f>SUBSTITUTE(CHOOSE(Main!$A$22,hare!AF38,hare!AH38),0,"")</f>
        <v>Type88 mod (missile)</v>
      </c>
      <c r="AD38" t="str">
        <f>SUBSTITUTE(CHOOSE(Main!$A$22,hare!AG38,hare!AI38),0,"")</f>
        <v>1</v>
      </c>
      <c r="AF38" s="19" t="s">
        <v>245</v>
      </c>
      <c r="AG38" s="19">
        <v>1</v>
      </c>
      <c r="AH38" s="22"/>
      <c r="AI38" s="22"/>
    </row>
    <row r="39" spans="2:35">
      <c r="B39" s="16">
        <f t="shared" si="0"/>
        <v>37</v>
      </c>
      <c r="C39" s="13" t="str">
        <f>IF(CHOOSE(Main!$D$1,hare!L39,hare!P39,hare!T39,hare!X39,hare!G39)=0,"",CHOOSE(Main!$D$1,hare!L39,hare!P39,hare!T39,hare!X39,hare!G39))</f>
        <v>Thunder</v>
      </c>
      <c r="D39" s="13">
        <f>IF(CHOOSE(Main!$D$1,hare!M39,hare!Q39,hare!U39,hare!Y39,hare!H39)=0,"",CHOOSE(Main!$D$1,hare!M39,hare!Q39,hare!U39,hare!Y39,hare!H39))</f>
        <v>9</v>
      </c>
      <c r="E39" s="13">
        <f>CHOOSE(Main!$D$1,hare!N39,hare!R39,hare!V39,hare!Z39,hare!I39)</f>
        <v>30</v>
      </c>
      <c r="F39" s="13">
        <f>CHOOSE(Main!$D$1,hare!O39,hare!S39,hare!W39,hare!AA39,hare!J39)</f>
        <v>0</v>
      </c>
      <c r="G39" s="13"/>
      <c r="H39" s="14"/>
      <c r="I39" s="15"/>
      <c r="J39" s="15"/>
      <c r="K39" s="1"/>
      <c r="L39" s="75" t="s">
        <v>155</v>
      </c>
      <c r="M39" s="76">
        <v>5</v>
      </c>
      <c r="N39" s="76">
        <v>30</v>
      </c>
      <c r="O39" s="13"/>
      <c r="P39" s="76"/>
      <c r="Q39" s="76"/>
      <c r="R39" s="76"/>
      <c r="S39" s="13"/>
      <c r="T39" s="13" t="s">
        <v>409</v>
      </c>
      <c r="U39" s="13">
        <v>9</v>
      </c>
      <c r="V39" s="13">
        <v>30</v>
      </c>
      <c r="W39" s="13"/>
      <c r="X39" s="13"/>
      <c r="Y39" s="13"/>
      <c r="Z39" s="14"/>
      <c r="AA39" s="1"/>
      <c r="AB39" s="21">
        <v>38</v>
      </c>
      <c r="AC39" t="str">
        <f>SUBSTITUTE(CHOOSE(Main!$A$22,hare!AF39,hare!AH39),0,"")</f>
        <v>Type88 mod (grenade)</v>
      </c>
      <c r="AD39" t="str">
        <f>SUBSTITUTE(CHOOSE(Main!$A$22,hare!AG39,hare!AI39),0,"")</f>
        <v>1</v>
      </c>
      <c r="AF39" s="19" t="s">
        <v>246</v>
      </c>
      <c r="AG39" s="19">
        <v>1</v>
      </c>
      <c r="AH39" s="22"/>
      <c r="AI39" s="22"/>
    </row>
    <row r="40" spans="2:35">
      <c r="B40" s="16">
        <f t="shared" si="0"/>
        <v>38</v>
      </c>
      <c r="C40" s="13" t="str">
        <f>IF(CHOOSE(Main!$D$1,hare!L40,hare!P40,hare!T40,hare!X40,hare!G40)=0,"",CHOOSE(Main!$D$1,hare!L40,hare!P40,hare!T40,hare!X40,hare!G40))</f>
        <v>Thunder_New</v>
      </c>
      <c r="D40" s="13">
        <f>IF(CHOOSE(Main!$D$1,hare!M40,hare!Q40,hare!U40,hare!Y40,hare!H40)=0,"",CHOOSE(Main!$D$1,hare!M40,hare!Q40,hare!U40,hare!Y40,hare!H40))</f>
        <v>9</v>
      </c>
      <c r="E40" s="13">
        <f>CHOOSE(Main!$D$1,hare!N40,hare!R40,hare!V40,hare!Z40,hare!I40)</f>
        <v>30</v>
      </c>
      <c r="F40" s="13">
        <f>CHOOSE(Main!$D$1,hare!O40,hare!S40,hare!W40,hare!AA40,hare!J40)</f>
        <v>0</v>
      </c>
      <c r="G40" s="13"/>
      <c r="H40" s="14"/>
      <c r="I40" s="15"/>
      <c r="J40" s="15"/>
      <c r="K40" s="1"/>
      <c r="L40" s="75" t="s">
        <v>291</v>
      </c>
      <c r="M40" s="76">
        <v>5</v>
      </c>
      <c r="N40" s="76">
        <v>30</v>
      </c>
      <c r="O40" s="13"/>
      <c r="P40" s="76"/>
      <c r="Q40" s="76"/>
      <c r="R40" s="76"/>
      <c r="S40" s="13"/>
      <c r="T40" s="13" t="s">
        <v>410</v>
      </c>
      <c r="U40" s="13">
        <v>9</v>
      </c>
      <c r="V40" s="13">
        <v>30</v>
      </c>
      <c r="W40" s="13"/>
      <c r="X40" s="13"/>
      <c r="Y40" s="13"/>
      <c r="Z40" s="14"/>
      <c r="AA40" s="1"/>
      <c r="AB40" s="22">
        <v>39</v>
      </c>
      <c r="AC40" t="str">
        <f>SUBSTITUTE(CHOOSE(Main!$A$22,hare!AF40,hare!AH40),0,"")</f>
        <v>Type88 mod (melee)</v>
      </c>
      <c r="AD40" t="str">
        <f>SUBSTITUTE(CHOOSE(Main!$A$22,hare!AG40,hare!AI40),0,"")</f>
        <v>2</v>
      </c>
      <c r="AF40" s="19" t="s">
        <v>247</v>
      </c>
      <c r="AG40" s="19">
        <v>2</v>
      </c>
      <c r="AH40" s="22"/>
      <c r="AI40" s="22"/>
    </row>
    <row r="41" spans="2:35">
      <c r="B41" s="16">
        <f t="shared" si="0"/>
        <v>39</v>
      </c>
      <c r="C41" s="13" t="str">
        <f>IF(CHOOSE(Main!$D$1,hare!L41,hare!P41,hare!T41,hare!X41,hare!G41)=0,"",CHOOSE(Main!$D$1,hare!L41,hare!P41,hare!T41,hare!X41,hare!G41))</f>
        <v>Uhlan</v>
      </c>
      <c r="D41" s="13">
        <f>IF(CHOOSE(Main!$D$1,hare!M41,hare!Q41,hare!U41,hare!Y41,hare!H41)=0,"",CHOOSE(Main!$D$1,hare!M41,hare!Q41,hare!U41,hare!Y41,hare!H41))</f>
        <v>7</v>
      </c>
      <c r="E41" s="13">
        <f>CHOOSE(Main!$D$1,hare!N41,hare!R41,hare!V41,hare!Z41,hare!I41)</f>
        <v>35</v>
      </c>
      <c r="F41" s="13">
        <f>CHOOSE(Main!$D$1,hare!O41,hare!S41,hare!W41,hare!AA41,hare!J41)</f>
        <v>0</v>
      </c>
      <c r="G41" s="13"/>
      <c r="H41" s="14"/>
      <c r="I41" s="15"/>
      <c r="J41" s="15"/>
      <c r="K41" s="1"/>
      <c r="L41" s="75" t="s">
        <v>292</v>
      </c>
      <c r="M41" s="76">
        <v>7</v>
      </c>
      <c r="N41" s="76">
        <v>30</v>
      </c>
      <c r="O41" s="13"/>
      <c r="P41" s="76"/>
      <c r="Q41" s="76"/>
      <c r="R41" s="76"/>
      <c r="S41" s="13"/>
      <c r="T41" s="13" t="s">
        <v>165</v>
      </c>
      <c r="U41" s="13">
        <v>7</v>
      </c>
      <c r="V41" s="13">
        <v>35</v>
      </c>
      <c r="W41" s="13"/>
      <c r="X41" s="13"/>
      <c r="Y41" s="13"/>
      <c r="Z41" s="14"/>
      <c r="AA41" s="1"/>
      <c r="AB41" s="21">
        <v>40</v>
      </c>
      <c r="AC41" t="str">
        <f>SUBSTITUTE(CHOOSE(Main!$A$22,hare!AF41,hare!AH41),0,"")</f>
        <v/>
      </c>
      <c r="AD41" t="str">
        <f>SUBSTITUTE(CHOOSE(Main!$A$22,hare!AG41,hare!AI41),0,"")</f>
        <v/>
      </c>
    </row>
    <row r="42" spans="2:35">
      <c r="B42" s="16">
        <f t="shared" si="0"/>
        <v>40</v>
      </c>
      <c r="C42" s="13" t="str">
        <f>IF(CHOOSE(Main!$D$1,hare!L42,hare!P42,hare!T42,hare!X42,hare!G42)=0,"",CHOOSE(Main!$D$1,hare!L42,hare!P42,hare!T42,hare!X42,hare!G42))</f>
        <v>Vespid</v>
      </c>
      <c r="D42" s="13">
        <f>IF(CHOOSE(Main!$D$1,hare!M42,hare!Q42,hare!U42,hare!Y42,hare!H42)=0,"",CHOOSE(Main!$D$1,hare!M42,hare!Q42,hare!U42,hare!Y42,hare!H42))</f>
        <v>6</v>
      </c>
      <c r="E42" s="13">
        <f>CHOOSE(Main!$D$1,hare!N42,hare!R42,hare!V42,hare!Z42,hare!I42)</f>
        <v>35</v>
      </c>
      <c r="F42" s="13">
        <f>CHOOSE(Main!$D$1,hare!O42,hare!S42,hare!W42,hare!AA42,hare!J42)</f>
        <v>0</v>
      </c>
      <c r="G42" s="13"/>
      <c r="H42" s="14"/>
      <c r="I42" s="15"/>
      <c r="J42" s="15"/>
      <c r="K42" s="1"/>
      <c r="L42" s="75" t="s">
        <v>293</v>
      </c>
      <c r="M42" s="76">
        <v>6</v>
      </c>
      <c r="N42" s="76">
        <v>30</v>
      </c>
      <c r="O42" s="13"/>
      <c r="P42" s="76"/>
      <c r="Q42" s="76"/>
      <c r="R42" s="76"/>
      <c r="S42" s="13"/>
      <c r="T42" s="13" t="s">
        <v>152</v>
      </c>
      <c r="U42" s="13">
        <v>6</v>
      </c>
      <c r="V42" s="13">
        <v>35</v>
      </c>
      <c r="W42" s="13"/>
      <c r="X42" s="13"/>
      <c r="Y42" s="13"/>
      <c r="Z42" s="14"/>
      <c r="AA42" s="1"/>
      <c r="AB42" s="22">
        <v>41</v>
      </c>
      <c r="AC42" t="str">
        <f>SUBSTITUTE(CHOOSE(Main!$A$22,hare!AF42,hare!AH42),0,"")</f>
        <v/>
      </c>
      <c r="AD42" t="str">
        <f>SUBSTITUTE(CHOOSE(Main!$A$22,hare!AG42,hare!AI42),0,"")</f>
        <v/>
      </c>
    </row>
    <row r="43" spans="2:35">
      <c r="B43" s="16">
        <f t="shared" si="0"/>
        <v>41</v>
      </c>
      <c r="C43" s="13" t="str">
        <f>IF(CHOOSE(Main!$D$1,hare!L43,hare!P43,hare!T43,hare!X43,hare!G43)=0,"",CHOOSE(Main!$D$1,hare!L43,hare!P43,hare!T43,hare!X43,hare!G43))</f>
        <v>Visjnoe</v>
      </c>
      <c r="D43" s="13">
        <f>IF(CHOOSE(Main!$D$1,hare!M43,hare!Q43,hare!U43,hare!Y43,hare!H43)=0,"",CHOOSE(Main!$D$1,hare!M43,hare!Q43,hare!U43,hare!Y43,hare!H43))</f>
        <v>8</v>
      </c>
      <c r="E43" s="13">
        <f>CHOOSE(Main!$D$1,hare!N43,hare!R43,hare!V43,hare!Z43,hare!I43)</f>
        <v>30</v>
      </c>
      <c r="F43" s="13">
        <f>CHOOSE(Main!$D$1,hare!O43,hare!S43,hare!W43,hare!AA43,hare!J43)</f>
        <v>0</v>
      </c>
      <c r="G43" s="13"/>
      <c r="H43" s="14"/>
      <c r="I43" s="15"/>
      <c r="J43" s="15"/>
      <c r="K43" s="1"/>
      <c r="L43" s="75" t="s">
        <v>294</v>
      </c>
      <c r="M43" s="76">
        <v>7</v>
      </c>
      <c r="N43" s="76">
        <v>35</v>
      </c>
      <c r="O43" s="13"/>
      <c r="P43" s="76"/>
      <c r="Q43" s="76"/>
      <c r="R43" s="76"/>
      <c r="S43" s="13"/>
      <c r="T43" s="13" t="s">
        <v>411</v>
      </c>
      <c r="U43" s="13">
        <v>8</v>
      </c>
      <c r="V43" s="13">
        <v>30</v>
      </c>
      <c r="W43" s="13"/>
      <c r="X43" s="13"/>
      <c r="Y43" s="13"/>
      <c r="Z43" s="14"/>
      <c r="AA43" s="1"/>
      <c r="AB43" s="21">
        <v>42</v>
      </c>
      <c r="AC43" t="str">
        <f>SUBSTITUTE(CHOOSE(Main!$A$22,hare!AF43,hare!AH43),0,"")</f>
        <v/>
      </c>
      <c r="AD43" t="str">
        <f>SUBSTITUTE(CHOOSE(Main!$A$22,hare!AG43,hare!AI43),0,"")</f>
        <v/>
      </c>
    </row>
    <row r="44" spans="2:35">
      <c r="B44" s="16">
        <f t="shared" si="0"/>
        <v>42</v>
      </c>
      <c r="C44" s="13" t="str">
        <f>IF(CHOOSE(Main!$D$1,hare!L44,hare!P44,hare!T44,hare!X44,hare!G44)=0,"",CHOOSE(Main!$D$1,hare!L44,hare!P44,hare!T44,hare!X44,hare!G44))</f>
        <v/>
      </c>
      <c r="D44" s="13" t="str">
        <f>IF(CHOOSE(Main!$D$1,hare!M44,hare!Q44,hare!U44,hare!Y44,hare!H44)=0,"",CHOOSE(Main!$D$1,hare!M44,hare!Q44,hare!U44,hare!Y44,hare!H44))</f>
        <v/>
      </c>
      <c r="E44" s="13">
        <f>CHOOSE(Main!$D$1,hare!N44,hare!R44,hare!V44,hare!Z44,hare!I44)</f>
        <v>0</v>
      </c>
      <c r="F44" s="13">
        <f>CHOOSE(Main!$D$1,hare!O44,hare!S44,hare!W44,hare!AA44,hare!J44)</f>
        <v>0</v>
      </c>
      <c r="G44" s="13"/>
      <c r="H44" s="14"/>
      <c r="I44" s="15"/>
      <c r="J44" s="15"/>
      <c r="K44" s="1"/>
      <c r="L44" s="75" t="s">
        <v>295</v>
      </c>
      <c r="M44" s="76">
        <v>7</v>
      </c>
      <c r="N44" s="76">
        <v>30</v>
      </c>
      <c r="O44" s="13"/>
      <c r="P44" s="76"/>
      <c r="Q44" s="76"/>
      <c r="R44" s="76"/>
      <c r="S44" s="13"/>
      <c r="T44" s="13"/>
      <c r="U44" s="13"/>
      <c r="V44" s="13"/>
      <c r="W44" s="13"/>
      <c r="X44" s="13"/>
      <c r="Y44" s="13"/>
      <c r="Z44" s="14"/>
      <c r="AA44" s="1"/>
      <c r="AB44" s="22">
        <v>43</v>
      </c>
      <c r="AC44" t="str">
        <f>SUBSTITUTE(CHOOSE(Main!$A$22,hare!AF44,hare!AH44),0,"")</f>
        <v/>
      </c>
      <c r="AD44" t="str">
        <f>SUBSTITUTE(CHOOSE(Main!$A$22,hare!AG44,hare!AI44),0,"")</f>
        <v/>
      </c>
    </row>
    <row r="45" spans="2:35">
      <c r="B45" s="16">
        <f t="shared" si="0"/>
        <v>43</v>
      </c>
      <c r="C45" s="13" t="str">
        <f>IF(CHOOSE(Main!$D$1,hare!L45,hare!P45,hare!T45,hare!X45,hare!G45)=0,"",CHOOSE(Main!$D$1,hare!L45,hare!P45,hare!T45,hare!X45,hare!G45))</f>
        <v/>
      </c>
      <c r="D45" s="13" t="str">
        <f>IF(CHOOSE(Main!$D$1,hare!M45,hare!Q45,hare!U45,hare!Y45,hare!H45)=0,"",CHOOSE(Main!$D$1,hare!M45,hare!Q45,hare!U45,hare!Y45,hare!H45))</f>
        <v/>
      </c>
      <c r="E45" s="13">
        <f>CHOOSE(Main!$D$1,hare!N45,hare!R45,hare!V45,hare!Z45,hare!I45)</f>
        <v>0</v>
      </c>
      <c r="F45" s="13">
        <f>CHOOSE(Main!$D$1,hare!O45,hare!S45,hare!W45,hare!AA45,hare!J45)</f>
        <v>0</v>
      </c>
      <c r="G45" s="13"/>
      <c r="H45" s="14"/>
      <c r="I45" s="15"/>
      <c r="J45" s="15"/>
      <c r="K45" s="1"/>
      <c r="L45" s="75" t="s">
        <v>296</v>
      </c>
      <c r="M45" s="76">
        <v>7</v>
      </c>
      <c r="N45" s="76">
        <v>35</v>
      </c>
      <c r="O45" s="13"/>
      <c r="P45" s="76"/>
      <c r="Q45" s="76"/>
      <c r="R45" s="76"/>
      <c r="S45" s="13"/>
      <c r="T45" s="13"/>
      <c r="U45" s="13"/>
      <c r="V45" s="13"/>
      <c r="W45" s="13"/>
      <c r="X45" s="13"/>
      <c r="Y45" s="13"/>
      <c r="Z45" s="14"/>
      <c r="AA45" s="1"/>
      <c r="AB45" s="21">
        <v>44</v>
      </c>
      <c r="AC45" t="str">
        <f>SUBSTITUTE(CHOOSE(Main!$A$22,hare!AF45,hare!AH45),0,"")</f>
        <v/>
      </c>
      <c r="AD45" t="str">
        <f>SUBSTITUTE(CHOOSE(Main!$A$22,hare!AG45,hare!AI45),0,"")</f>
        <v/>
      </c>
    </row>
    <row r="46" spans="2:35">
      <c r="B46" s="16">
        <f t="shared" si="0"/>
        <v>44</v>
      </c>
      <c r="C46" s="13" t="str">
        <f>IF(CHOOSE(Main!$D$1,hare!L46,hare!P46,hare!T46,hare!X46,hare!G46)=0,"",CHOOSE(Main!$D$1,hare!L46,hare!P46,hare!T46,hare!X46,hare!G46))</f>
        <v/>
      </c>
      <c r="D46" s="13" t="str">
        <f>IF(CHOOSE(Main!$D$1,hare!M46,hare!Q46,hare!U46,hare!Y46,hare!H46)=0,"",CHOOSE(Main!$D$1,hare!M46,hare!Q46,hare!U46,hare!Y46,hare!H46))</f>
        <v/>
      </c>
      <c r="E46" s="13">
        <f>CHOOSE(Main!$D$1,hare!N46,hare!R46,hare!V46,hare!Z46,hare!I46)</f>
        <v>0</v>
      </c>
      <c r="F46" s="13">
        <f>CHOOSE(Main!$D$1,hare!O46,hare!S46,hare!W46,hare!AA46,hare!J46)</f>
        <v>0</v>
      </c>
      <c r="G46" s="13"/>
      <c r="H46" s="14"/>
      <c r="I46" s="15"/>
      <c r="J46" s="15"/>
      <c r="K46" s="1"/>
      <c r="L46" s="75" t="s">
        <v>149</v>
      </c>
      <c r="M46" s="76">
        <v>4</v>
      </c>
      <c r="N46" s="76">
        <v>30</v>
      </c>
      <c r="O46" s="13"/>
      <c r="P46" s="76"/>
      <c r="Q46" s="76"/>
      <c r="R46" s="76"/>
      <c r="S46" s="13"/>
      <c r="T46" s="13"/>
      <c r="U46" s="13"/>
      <c r="V46" s="13"/>
      <c r="W46" s="13"/>
      <c r="X46" s="13"/>
      <c r="Y46" s="13"/>
      <c r="Z46" s="14"/>
      <c r="AA46" s="1"/>
      <c r="AB46" s="22">
        <v>45</v>
      </c>
      <c r="AC46" t="str">
        <f>SUBSTITUTE(CHOOSE(Main!$A$22,hare!AF46,hare!AH46),0,"")</f>
        <v/>
      </c>
      <c r="AD46" t="str">
        <f>SUBSTITUTE(CHOOSE(Main!$A$22,hare!AG46,hare!AI46),0,"")</f>
        <v/>
      </c>
    </row>
    <row r="47" spans="2:35" s="22" customFormat="1">
      <c r="B47" s="16">
        <f t="shared" si="0"/>
        <v>45</v>
      </c>
      <c r="C47" s="13" t="str">
        <f>IF(CHOOSE(Main!$D$1,hare!L47,hare!P47,hare!T47,hare!X47,hare!G47)=0,"",CHOOSE(Main!$D$1,hare!L47,hare!P47,hare!T47,hare!X47,hare!G47))</f>
        <v/>
      </c>
      <c r="D47" s="13" t="str">
        <f>IF(CHOOSE(Main!$D$1,hare!M47,hare!Q47,hare!U47,hare!Y47,hare!H47)=0,"",CHOOSE(Main!$D$1,hare!M47,hare!Q47,hare!U47,hare!Y47,hare!H47))</f>
        <v/>
      </c>
      <c r="E47" s="13">
        <f>CHOOSE(Main!$D$1,hare!N47,hare!R47,hare!V47,hare!Z47,hare!I47)</f>
        <v>0</v>
      </c>
      <c r="F47" s="13">
        <f>CHOOSE(Main!$D$1,hare!O47,hare!S47,hare!W47,hare!AA47,hare!J47)</f>
        <v>0</v>
      </c>
      <c r="G47" s="13"/>
      <c r="H47" s="14"/>
      <c r="I47" s="15"/>
      <c r="J47" s="15"/>
      <c r="K47" s="1"/>
      <c r="L47" s="75" t="s">
        <v>297</v>
      </c>
      <c r="M47" s="76">
        <v>5</v>
      </c>
      <c r="N47" s="76">
        <v>40</v>
      </c>
      <c r="O47" s="13"/>
      <c r="P47" s="76"/>
      <c r="Q47" s="76"/>
      <c r="R47" s="76"/>
      <c r="S47" s="13"/>
      <c r="T47" s="13"/>
      <c r="U47" s="13"/>
      <c r="V47" s="13"/>
      <c r="W47" s="13"/>
      <c r="X47" s="13"/>
      <c r="Y47" s="13"/>
      <c r="Z47" s="14"/>
      <c r="AA47" s="1"/>
      <c r="AB47" s="21">
        <v>46</v>
      </c>
    </row>
    <row r="48" spans="2:35" s="22" customFormat="1">
      <c r="B48" s="16">
        <f t="shared" si="0"/>
        <v>46</v>
      </c>
      <c r="C48" s="13" t="str">
        <f>IF(CHOOSE(Main!$D$1,hare!L48,hare!P48,hare!T48,hare!X48,hare!G48)=0,"",CHOOSE(Main!$D$1,hare!L48,hare!P48,hare!T48,hare!X48,hare!G48))</f>
        <v/>
      </c>
      <c r="D48" s="13" t="str">
        <f>IF(CHOOSE(Main!$D$1,hare!M48,hare!Q48,hare!U48,hare!Y48,hare!H48)=0,"",CHOOSE(Main!$D$1,hare!M48,hare!Q48,hare!U48,hare!Y48,hare!H48))</f>
        <v/>
      </c>
      <c r="E48" s="13">
        <f>CHOOSE(Main!$D$1,hare!N48,hare!R48,hare!V48,hare!Z48,hare!I48)</f>
        <v>0</v>
      </c>
      <c r="F48" s="13">
        <f>CHOOSE(Main!$D$1,hare!O48,hare!S48,hare!W48,hare!AA48,hare!J48)</f>
        <v>0</v>
      </c>
      <c r="G48" s="13"/>
      <c r="H48" s="14"/>
      <c r="I48" s="15"/>
      <c r="J48" s="15"/>
      <c r="K48" s="1"/>
      <c r="L48" s="75" t="s">
        <v>298</v>
      </c>
      <c r="M48" s="76">
        <v>5</v>
      </c>
      <c r="N48" s="76">
        <v>30</v>
      </c>
      <c r="O48" s="13"/>
      <c r="P48" s="76"/>
      <c r="Q48" s="76"/>
      <c r="R48" s="76"/>
      <c r="S48" s="13"/>
      <c r="T48" s="13"/>
      <c r="U48" s="13"/>
      <c r="V48" s="13"/>
      <c r="W48" s="13"/>
      <c r="X48" s="13"/>
      <c r="Y48" s="13"/>
      <c r="Z48" s="14"/>
      <c r="AA48" s="1"/>
      <c r="AB48" s="22">
        <v>47</v>
      </c>
    </row>
    <row r="49" spans="2:30">
      <c r="B49" s="16">
        <f t="shared" si="0"/>
        <v>47</v>
      </c>
      <c r="C49" s="13" t="str">
        <f>IF(CHOOSE(Main!$D$1,hare!L49,hare!P49,hare!T49,hare!X49,hare!G49)=0,"",CHOOSE(Main!$D$1,hare!L49,hare!P49,hare!T49,hare!X49,hare!G49))</f>
        <v/>
      </c>
      <c r="D49" s="13" t="str">
        <f>IF(CHOOSE(Main!$D$1,hare!M49,hare!Q49,hare!U49,hare!Y49,hare!H49)=0,"",CHOOSE(Main!$D$1,hare!M49,hare!Q49,hare!U49,hare!Y49,hare!H49))</f>
        <v/>
      </c>
      <c r="E49" s="13">
        <f>CHOOSE(Main!$D$1,hare!N49,hare!R49,hare!V49,hare!Z49,hare!I49)</f>
        <v>0</v>
      </c>
      <c r="F49" s="13">
        <f>CHOOSE(Main!$D$1,hare!O49,hare!S49,hare!W49,hare!AA49,hare!J49)</f>
        <v>0</v>
      </c>
      <c r="G49" s="13"/>
      <c r="H49" s="14"/>
      <c r="I49" s="15"/>
      <c r="J49" s="15"/>
      <c r="K49" s="1"/>
      <c r="L49" s="75" t="s">
        <v>299</v>
      </c>
      <c r="M49" s="76">
        <v>5</v>
      </c>
      <c r="N49" s="76">
        <v>40</v>
      </c>
      <c r="O49" s="13"/>
      <c r="P49" s="76"/>
      <c r="Q49" s="76"/>
      <c r="R49" s="76"/>
      <c r="S49" s="13"/>
      <c r="T49" s="13"/>
      <c r="U49" s="13"/>
      <c r="V49" s="13"/>
      <c r="W49" s="13"/>
      <c r="X49" s="13"/>
      <c r="Y49" s="13"/>
      <c r="Z49" s="14"/>
      <c r="AA49" s="1"/>
      <c r="AB49" s="21">
        <v>48</v>
      </c>
      <c r="AC49" t="str">
        <f>SUBSTITUTE(CHOOSE(Main!$A$22,hare!AF49,hare!AH49),0,"")</f>
        <v/>
      </c>
      <c r="AD49" t="str">
        <f>SUBSTITUTE(CHOOSE(Main!$A$22,hare!AG49,hare!AI49),0,"")</f>
        <v/>
      </c>
    </row>
    <row r="50" spans="2:30">
      <c r="B50" s="16">
        <f t="shared" si="0"/>
        <v>48</v>
      </c>
      <c r="C50" s="13" t="str">
        <f>IF(CHOOSE(Main!$D$1,hare!L50,hare!P50,hare!T50,hare!X50,hare!G50)=0,"",CHOOSE(Main!$D$1,hare!L50,hare!P50,hare!T50,hare!X50,hare!G50))</f>
        <v/>
      </c>
      <c r="D50" s="13" t="str">
        <f>IF(CHOOSE(Main!$D$1,hare!M50,hare!Q50,hare!U50,hare!Y50,hare!H50)=0,"",CHOOSE(Main!$D$1,hare!M50,hare!Q50,hare!U50,hare!Y50,hare!H50))</f>
        <v/>
      </c>
      <c r="E50" s="13">
        <f>CHOOSE(Main!$D$1,hare!N50,hare!R50,hare!V50,hare!Z50,hare!I50)</f>
        <v>0</v>
      </c>
      <c r="F50" s="13">
        <f>CHOOSE(Main!$D$1,hare!O50,hare!S50,hare!W50,hare!AA50,hare!J50)</f>
        <v>0</v>
      </c>
      <c r="G50" s="13"/>
      <c r="H50" s="14"/>
      <c r="I50" s="15"/>
      <c r="J50" s="15"/>
      <c r="K50" s="1"/>
      <c r="L50" s="75" t="s">
        <v>300</v>
      </c>
      <c r="M50" s="76">
        <v>5</v>
      </c>
      <c r="N50" s="76">
        <v>30</v>
      </c>
      <c r="O50" s="13"/>
      <c r="P50" s="76"/>
      <c r="Q50" s="76"/>
      <c r="R50" s="76"/>
      <c r="S50" s="13"/>
      <c r="T50" s="13"/>
      <c r="U50" s="13"/>
      <c r="V50" s="13"/>
      <c r="W50" s="13"/>
      <c r="X50" s="13"/>
      <c r="Y50" s="13"/>
      <c r="Z50" s="14"/>
      <c r="AA50" s="1"/>
      <c r="AB50" s="22">
        <v>49</v>
      </c>
      <c r="AC50" t="str">
        <f>SUBSTITUTE(CHOOSE(Main!$A$22,hare!AF50,hare!AH50),0,"")</f>
        <v/>
      </c>
      <c r="AD50" t="str">
        <f>SUBSTITUTE(CHOOSE(Main!$A$22,hare!AG50,hare!AI50),0,"")</f>
        <v/>
      </c>
    </row>
    <row r="51" spans="2:30">
      <c r="B51" s="16">
        <f t="shared" si="0"/>
        <v>49</v>
      </c>
      <c r="C51" s="13" t="str">
        <f>IF(CHOOSE(Main!$D$1,hare!L51,hare!P51,hare!T51,hare!X51,hare!G51)=0,"",CHOOSE(Main!$D$1,hare!L51,hare!P51,hare!T51,hare!X51,hare!G51))</f>
        <v/>
      </c>
      <c r="D51" s="13" t="str">
        <f>IF(CHOOSE(Main!$D$1,hare!M51,hare!Q51,hare!U51,hare!Y51,hare!H51)=0,"",CHOOSE(Main!$D$1,hare!M51,hare!Q51,hare!U51,hare!Y51,hare!H51))</f>
        <v/>
      </c>
      <c r="E51" s="13">
        <f>CHOOSE(Main!$D$1,hare!N51,hare!R51,hare!V51,hare!Z51,hare!I51)</f>
        <v>0</v>
      </c>
      <c r="F51" s="13">
        <f>CHOOSE(Main!$D$1,hare!O51,hare!S51,hare!W51,hare!AA51,hare!J51)</f>
        <v>0</v>
      </c>
      <c r="G51" s="13"/>
      <c r="H51" s="14"/>
      <c r="I51" s="1"/>
      <c r="J51" s="1"/>
      <c r="K51" s="1"/>
      <c r="L51" s="75" t="s">
        <v>301</v>
      </c>
      <c r="M51" s="76">
        <v>5</v>
      </c>
      <c r="N51" s="76">
        <v>40</v>
      </c>
      <c r="O51" s="13"/>
      <c r="P51" s="76"/>
      <c r="Q51" s="76"/>
      <c r="R51" s="76"/>
      <c r="S51" s="13"/>
      <c r="T51" s="13"/>
      <c r="U51" s="13"/>
      <c r="V51" s="13"/>
      <c r="W51" s="13"/>
      <c r="X51" s="13"/>
      <c r="Y51" s="13"/>
      <c r="Z51" s="14"/>
      <c r="AA51" s="1"/>
      <c r="AB51" s="1"/>
      <c r="AC51" t="str">
        <f>SUBSTITUTE(CHOOSE(Main!$A$22,hare!AF51,hare!AH51),0,"")</f>
        <v/>
      </c>
      <c r="AD51" t="str">
        <f>SUBSTITUTE(CHOOSE(Main!$A$22,hare!AG51,hare!AI51),0,"")</f>
        <v/>
      </c>
    </row>
    <row r="52" spans="2:30">
      <c r="B52" s="16">
        <f t="shared" si="0"/>
        <v>50</v>
      </c>
      <c r="C52" s="13" t="str">
        <f>IF(CHOOSE(Main!$D$1,hare!L52,hare!P52,hare!T52,hare!X52,hare!G52)=0,"",CHOOSE(Main!$D$1,hare!L52,hare!P52,hare!T52,hare!X52,hare!G52))</f>
        <v/>
      </c>
      <c r="D52" s="13" t="str">
        <f>IF(CHOOSE(Main!$D$1,hare!M52,hare!Q52,hare!U52,hare!Y52,hare!H52)=0,"",CHOOSE(Main!$D$1,hare!M52,hare!Q52,hare!U52,hare!Y52,hare!H52))</f>
        <v/>
      </c>
      <c r="E52" s="13">
        <f>CHOOSE(Main!$D$1,hare!N52,hare!R52,hare!V52,hare!Z52,hare!I52)</f>
        <v>0</v>
      </c>
      <c r="F52" s="13">
        <f>CHOOSE(Main!$D$1,hare!O52,hare!S52,hare!W52,hare!AA52,hare!J52)</f>
        <v>0</v>
      </c>
      <c r="G52" s="13"/>
      <c r="H52" s="14"/>
      <c r="I52" s="1"/>
      <c r="J52" s="1"/>
      <c r="K52" s="1"/>
      <c r="L52" s="75" t="s">
        <v>302</v>
      </c>
      <c r="M52" s="76">
        <v>5</v>
      </c>
      <c r="N52" s="76">
        <v>40</v>
      </c>
      <c r="O52" s="13"/>
      <c r="P52" s="76"/>
      <c r="Q52" s="76"/>
      <c r="R52" s="76"/>
      <c r="S52" s="13"/>
      <c r="T52" s="13"/>
      <c r="U52" s="13"/>
      <c r="V52" s="13"/>
      <c r="W52" s="13"/>
      <c r="X52" s="13"/>
      <c r="Y52" s="13"/>
      <c r="Z52" s="14"/>
      <c r="AA52" s="1"/>
      <c r="AB52" s="1"/>
      <c r="AC52" t="str">
        <f>SUBSTITUTE(CHOOSE(Main!$A$22,hare!AF52,hare!AH52),0,"")</f>
        <v/>
      </c>
      <c r="AD52" t="str">
        <f>SUBSTITUTE(CHOOSE(Main!$A$22,hare!AG52,hare!AI52),0,"")</f>
        <v/>
      </c>
    </row>
    <row r="53" spans="2:30">
      <c r="B53" s="16">
        <f t="shared" si="0"/>
        <v>51</v>
      </c>
      <c r="C53" s="13" t="str">
        <f>IF(CHOOSE(Main!$D$1,hare!L53,hare!P53,hare!T53,hare!X53,hare!G53)=0,"",CHOOSE(Main!$D$1,hare!L53,hare!P53,hare!T53,hare!X53,hare!G53))</f>
        <v/>
      </c>
      <c r="D53" s="13" t="str">
        <f>IF(CHOOSE(Main!$D$1,hare!M53,hare!Q53,hare!U53,hare!Y53,hare!H53)=0,"",CHOOSE(Main!$D$1,hare!M53,hare!Q53,hare!U53,hare!Y53,hare!H53))</f>
        <v/>
      </c>
      <c r="E53" s="13">
        <f>CHOOSE(Main!$D$1,hare!N53,hare!R53,hare!V53,hare!Z53,hare!I53)</f>
        <v>0</v>
      </c>
      <c r="F53" s="13">
        <f>CHOOSE(Main!$D$1,hare!O53,hare!S53,hare!W53,hare!AA53,hare!J53)</f>
        <v>0</v>
      </c>
      <c r="G53" s="13"/>
      <c r="H53" s="14"/>
      <c r="I53" s="1"/>
      <c r="J53" s="1"/>
      <c r="K53" s="1"/>
      <c r="L53" s="75" t="s">
        <v>150</v>
      </c>
      <c r="M53" s="76">
        <v>4</v>
      </c>
      <c r="N53" s="76">
        <v>50</v>
      </c>
      <c r="O53" s="13"/>
      <c r="P53" s="76"/>
      <c r="Q53" s="76"/>
      <c r="R53" s="76"/>
      <c r="S53" s="13"/>
      <c r="T53" s="13"/>
      <c r="U53" s="13"/>
      <c r="V53" s="13"/>
      <c r="W53" s="13"/>
      <c r="X53" s="13"/>
      <c r="Y53" s="13"/>
      <c r="Z53" s="14"/>
      <c r="AA53" s="1"/>
      <c r="AB53" s="1"/>
      <c r="AC53" s="1"/>
      <c r="AD53" s="1"/>
    </row>
    <row r="54" spans="2:30">
      <c r="B54" s="16">
        <f t="shared" si="0"/>
        <v>52</v>
      </c>
      <c r="C54" s="13" t="str">
        <f>IF(CHOOSE(Main!$D$1,hare!L54,hare!P54,hare!T54,hare!X54,hare!G54)=0,"",CHOOSE(Main!$D$1,hare!L54,hare!P54,hare!T54,hare!X54,hare!G54))</f>
        <v/>
      </c>
      <c r="D54" s="13" t="str">
        <f>IF(CHOOSE(Main!$D$1,hare!M54,hare!Q54,hare!U54,hare!Y54,hare!H54)=0,"",CHOOSE(Main!$D$1,hare!M54,hare!Q54,hare!U54,hare!Y54,hare!H54))</f>
        <v/>
      </c>
      <c r="E54" s="13">
        <f>CHOOSE(Main!$D$1,hare!N54,hare!R54,hare!V54,hare!Z54,hare!I54)</f>
        <v>0</v>
      </c>
      <c r="F54" s="13">
        <f>CHOOSE(Main!$D$1,hare!O54,hare!S54,hare!W54,hare!AA54,hare!J54)</f>
        <v>0</v>
      </c>
      <c r="G54" s="13"/>
      <c r="H54" s="14"/>
      <c r="I54" s="1"/>
      <c r="J54" s="1"/>
      <c r="K54" s="1"/>
      <c r="L54" s="75" t="s">
        <v>303</v>
      </c>
      <c r="M54" s="76">
        <v>5</v>
      </c>
      <c r="N54" s="76">
        <v>50</v>
      </c>
      <c r="O54" s="13"/>
      <c r="P54" s="76"/>
      <c r="Q54" s="76"/>
      <c r="R54" s="76"/>
      <c r="S54" s="13"/>
      <c r="T54" s="13"/>
      <c r="U54" s="13"/>
      <c r="V54" s="13"/>
      <c r="W54" s="13"/>
      <c r="X54" s="13"/>
      <c r="Y54" s="13"/>
      <c r="Z54" s="14"/>
      <c r="AA54" s="1"/>
      <c r="AB54" s="1"/>
      <c r="AC54" s="1"/>
      <c r="AD54" s="1"/>
    </row>
    <row r="55" spans="2:30">
      <c r="B55" s="16">
        <f t="shared" si="0"/>
        <v>53</v>
      </c>
      <c r="C55" s="13" t="str">
        <f>IF(CHOOSE(Main!$D$1,hare!L55,hare!P55,hare!T55,hare!X55,hare!G55)=0,"",CHOOSE(Main!$D$1,hare!L55,hare!P55,hare!T55,hare!X55,hare!G55))</f>
        <v/>
      </c>
      <c r="D55" s="13" t="str">
        <f>IF(CHOOSE(Main!$D$1,hare!M55,hare!Q55,hare!U55,hare!Y55,hare!H55)=0,"",CHOOSE(Main!$D$1,hare!M55,hare!Q55,hare!U55,hare!Y55,hare!H55))</f>
        <v/>
      </c>
      <c r="E55" s="13">
        <f>CHOOSE(Main!$D$1,hare!N55,hare!R55,hare!V55,hare!Z55,hare!I55)</f>
        <v>0</v>
      </c>
      <c r="F55" s="13">
        <f>CHOOSE(Main!$D$1,hare!O55,hare!S55,hare!W55,hare!AA55,hare!J55)</f>
        <v>0</v>
      </c>
      <c r="G55" s="13"/>
      <c r="H55" s="14"/>
      <c r="I55" s="1"/>
      <c r="J55" s="1"/>
      <c r="K55" s="1"/>
      <c r="L55" s="75" t="s">
        <v>154</v>
      </c>
      <c r="M55" s="76">
        <v>7</v>
      </c>
      <c r="N55" s="76">
        <v>20</v>
      </c>
      <c r="O55" s="13"/>
      <c r="P55" s="76"/>
      <c r="Q55" s="76"/>
      <c r="R55" s="76"/>
      <c r="S55" s="13"/>
      <c r="T55" s="13"/>
      <c r="U55" s="13"/>
      <c r="V55" s="13"/>
      <c r="W55" s="13"/>
      <c r="X55" s="13"/>
      <c r="Y55" s="13"/>
      <c r="Z55" s="14"/>
      <c r="AA55" s="1"/>
      <c r="AB55" s="1"/>
      <c r="AC55" s="1"/>
      <c r="AD55" s="1"/>
    </row>
    <row r="56" spans="2:30">
      <c r="B56" s="16">
        <f t="shared" si="0"/>
        <v>54</v>
      </c>
      <c r="C56" s="13" t="str">
        <f>IF(CHOOSE(Main!$D$1,hare!L56,hare!P56,hare!T56,hare!X56,hare!G56)=0,"",CHOOSE(Main!$D$1,hare!L56,hare!P56,hare!T56,hare!X56,hare!G56))</f>
        <v/>
      </c>
      <c r="D56" s="13" t="str">
        <f>IF(CHOOSE(Main!$D$1,hare!M56,hare!Q56,hare!U56,hare!Y56,hare!H56)=0,"",CHOOSE(Main!$D$1,hare!M56,hare!Q56,hare!U56,hare!Y56,hare!H56))</f>
        <v/>
      </c>
      <c r="E56" s="13">
        <f>CHOOSE(Main!$D$1,hare!N56,hare!R56,hare!V56,hare!Z56,hare!I56)</f>
        <v>0</v>
      </c>
      <c r="F56" s="13">
        <f>CHOOSE(Main!$D$1,hare!O56,hare!S56,hare!W56,hare!AA56,hare!J56)</f>
        <v>0</v>
      </c>
      <c r="G56" s="13"/>
      <c r="H56" s="14"/>
      <c r="I56" s="1"/>
      <c r="J56" s="1"/>
      <c r="K56" s="1"/>
      <c r="L56" s="75" t="s">
        <v>304</v>
      </c>
      <c r="M56" s="76">
        <v>7</v>
      </c>
      <c r="N56" s="76">
        <v>35</v>
      </c>
      <c r="O56" s="13"/>
      <c r="P56" s="76"/>
      <c r="Q56" s="76"/>
      <c r="R56" s="76"/>
      <c r="S56" s="13"/>
      <c r="T56" s="13"/>
      <c r="U56" s="13"/>
      <c r="V56" s="13"/>
      <c r="W56" s="13"/>
      <c r="X56" s="13"/>
      <c r="Y56" s="13"/>
      <c r="Z56" s="14"/>
      <c r="AA56" s="1"/>
      <c r="AB56" s="1"/>
      <c r="AC56" s="1"/>
      <c r="AD56" s="1"/>
    </row>
    <row r="57" spans="2:30">
      <c r="B57" s="16">
        <f t="shared" si="0"/>
        <v>55</v>
      </c>
      <c r="C57" s="13" t="str">
        <f>IF(CHOOSE(Main!$D$1,hare!L57,hare!P57,hare!T57,hare!X57,hare!G57)=0,"",CHOOSE(Main!$D$1,hare!L57,hare!P57,hare!T57,hare!X57,hare!G57))</f>
        <v/>
      </c>
      <c r="D57" s="13" t="str">
        <f>IF(CHOOSE(Main!$D$1,hare!M57,hare!Q57,hare!U57,hare!Y57,hare!H57)=0,"",CHOOSE(Main!$D$1,hare!M57,hare!Q57,hare!U57,hare!Y57,hare!H57))</f>
        <v/>
      </c>
      <c r="E57" s="13">
        <f>CHOOSE(Main!$D$1,hare!N57,hare!R57,hare!V57,hare!Z57,hare!I57)</f>
        <v>0</v>
      </c>
      <c r="F57" s="13">
        <f>CHOOSE(Main!$D$1,hare!O57,hare!S57,hare!W57,hare!AA57,hare!J57)</f>
        <v>0</v>
      </c>
      <c r="G57" s="13"/>
      <c r="H57" s="14"/>
      <c r="I57" s="1"/>
      <c r="J57" s="1"/>
      <c r="K57" s="1"/>
      <c r="L57" s="75" t="s">
        <v>305</v>
      </c>
      <c r="M57" s="76">
        <v>3</v>
      </c>
      <c r="N57" s="76">
        <v>45</v>
      </c>
      <c r="O57" s="13"/>
      <c r="P57" s="76"/>
      <c r="Q57" s="76"/>
      <c r="R57" s="76"/>
      <c r="S57" s="13"/>
      <c r="T57" s="13"/>
      <c r="U57" s="13"/>
      <c r="V57" s="13"/>
      <c r="W57" s="13"/>
      <c r="X57" s="13"/>
      <c r="Y57" s="13"/>
      <c r="Z57" s="14"/>
      <c r="AA57" s="1"/>
      <c r="AB57" s="1"/>
      <c r="AC57" s="1"/>
      <c r="AD57" s="1"/>
    </row>
    <row r="58" spans="2:30">
      <c r="B58" s="16">
        <f t="shared" si="0"/>
        <v>56</v>
      </c>
      <c r="C58" s="13" t="str">
        <f>IF(CHOOSE(Main!$D$1,hare!L58,hare!P58,hare!T58,hare!X58,hare!G58)=0,"",CHOOSE(Main!$D$1,hare!L58,hare!P58,hare!T58,hare!X58,hare!G58))</f>
        <v/>
      </c>
      <c r="D58" s="13" t="str">
        <f>IF(CHOOSE(Main!$D$1,hare!M58,hare!Q58,hare!U58,hare!Y58,hare!H58)=0,"",CHOOSE(Main!$D$1,hare!M58,hare!Q58,hare!U58,hare!Y58,hare!H58))</f>
        <v/>
      </c>
      <c r="E58" s="13">
        <f>CHOOSE(Main!$D$1,hare!N58,hare!R58,hare!V58,hare!Z58,hare!I58)</f>
        <v>0</v>
      </c>
      <c r="F58" s="13">
        <f>CHOOSE(Main!$D$1,hare!O58,hare!S58,hare!W58,hare!AA58,hare!J58)</f>
        <v>0</v>
      </c>
      <c r="G58" s="13"/>
      <c r="H58" s="14"/>
      <c r="I58" s="1"/>
      <c r="J58" s="1"/>
      <c r="K58" s="1"/>
      <c r="L58" s="75" t="s">
        <v>306</v>
      </c>
      <c r="M58" s="76">
        <v>3</v>
      </c>
      <c r="N58" s="76">
        <v>60</v>
      </c>
      <c r="O58" s="13"/>
      <c r="P58" s="76"/>
      <c r="Q58" s="76"/>
      <c r="R58" s="76"/>
      <c r="S58" s="13"/>
      <c r="T58" s="13"/>
      <c r="U58" s="13"/>
      <c r="V58" s="13"/>
      <c r="W58" s="13"/>
      <c r="X58" s="13"/>
      <c r="Y58" s="13"/>
      <c r="Z58" s="14"/>
      <c r="AA58" s="1"/>
      <c r="AB58" s="1"/>
      <c r="AC58" s="1"/>
      <c r="AD58" s="1"/>
    </row>
    <row r="59" spans="2:30">
      <c r="B59" s="16">
        <f t="shared" si="0"/>
        <v>57</v>
      </c>
      <c r="C59" s="13" t="str">
        <f>IF(CHOOSE(Main!$D$1,hare!L59,hare!P59,hare!T59,hare!X59,hare!G59)=0,"",CHOOSE(Main!$D$1,hare!L59,hare!P59,hare!T59,hare!X59,hare!G59))</f>
        <v/>
      </c>
      <c r="D59" s="13" t="str">
        <f>IF(CHOOSE(Main!$D$1,hare!M59,hare!Q59,hare!U59,hare!Y59,hare!H59)=0,"",CHOOSE(Main!$D$1,hare!M59,hare!Q59,hare!U59,hare!Y59,hare!H59))</f>
        <v/>
      </c>
      <c r="E59" s="13">
        <f>CHOOSE(Main!$D$1,hare!N59,hare!R59,hare!V59,hare!Z59,hare!I59)</f>
        <v>0</v>
      </c>
      <c r="F59" s="13">
        <f>CHOOSE(Main!$D$1,hare!O59,hare!S59,hare!W59,hare!AA59,hare!J59)</f>
        <v>0</v>
      </c>
      <c r="G59" s="13"/>
      <c r="H59" s="14"/>
      <c r="I59" s="1"/>
      <c r="J59" s="1"/>
      <c r="K59" s="1"/>
      <c r="L59" s="75" t="s">
        <v>307</v>
      </c>
      <c r="M59" s="76">
        <v>6</v>
      </c>
      <c r="N59" s="76">
        <v>35</v>
      </c>
      <c r="O59" s="13"/>
      <c r="P59" s="76"/>
      <c r="Q59" s="76"/>
      <c r="R59" s="76"/>
      <c r="S59" s="13"/>
      <c r="T59" s="13"/>
      <c r="U59" s="13"/>
      <c r="V59" s="13"/>
      <c r="W59" s="13"/>
      <c r="X59" s="13"/>
      <c r="Y59" s="13"/>
      <c r="Z59" s="14"/>
      <c r="AA59" s="1"/>
      <c r="AB59" s="1"/>
      <c r="AC59" s="1"/>
      <c r="AD59" s="1"/>
    </row>
    <row r="60" spans="2:30">
      <c r="B60" s="16">
        <f t="shared" si="0"/>
        <v>58</v>
      </c>
      <c r="C60" s="13" t="str">
        <f>IF(CHOOSE(Main!$D$1,hare!L60,hare!P60,hare!T60,hare!X60,hare!G60)=0,"",CHOOSE(Main!$D$1,hare!L60,hare!P60,hare!T60,hare!X60,hare!G60))</f>
        <v/>
      </c>
      <c r="D60" s="13" t="str">
        <f>IF(CHOOSE(Main!$D$1,hare!M60,hare!Q60,hare!U60,hare!Y60,hare!H60)=0,"",CHOOSE(Main!$D$1,hare!M60,hare!Q60,hare!U60,hare!Y60,hare!H60))</f>
        <v/>
      </c>
      <c r="E60" s="13">
        <f>CHOOSE(Main!$D$1,hare!N60,hare!R60,hare!V60,hare!Z60,hare!I60)</f>
        <v>0</v>
      </c>
      <c r="F60" s="13">
        <f>CHOOSE(Main!$D$1,hare!O60,hare!S60,hare!W60,hare!AA60,hare!J60)</f>
        <v>0</v>
      </c>
      <c r="G60" s="13"/>
      <c r="H60" s="14"/>
      <c r="I60" s="1"/>
      <c r="J60" s="1"/>
      <c r="K60" s="1"/>
      <c r="L60" s="75" t="s">
        <v>308</v>
      </c>
      <c r="M60" s="76">
        <v>7</v>
      </c>
      <c r="N60" s="76">
        <v>40</v>
      </c>
      <c r="O60" s="13"/>
      <c r="P60" s="76"/>
      <c r="Q60" s="76"/>
      <c r="R60" s="76"/>
      <c r="S60" s="13"/>
      <c r="T60" s="13"/>
      <c r="U60" s="13"/>
      <c r="V60" s="13"/>
      <c r="W60" s="13"/>
      <c r="X60" s="13"/>
      <c r="Y60" s="13"/>
      <c r="Z60" s="14"/>
      <c r="AA60" s="1"/>
      <c r="AB60" s="1"/>
      <c r="AC60" s="1"/>
      <c r="AD60" s="1"/>
    </row>
    <row r="61" spans="2:30">
      <c r="B61" s="16">
        <f t="shared" si="0"/>
        <v>59</v>
      </c>
      <c r="C61" s="13" t="str">
        <f>IF(CHOOSE(Main!$D$1,hare!L61,hare!P61,hare!T61,hare!X61,hare!G61)=0,"",CHOOSE(Main!$D$1,hare!L61,hare!P61,hare!T61,hare!X61,hare!G61))</f>
        <v/>
      </c>
      <c r="D61" s="13" t="str">
        <f>IF(CHOOSE(Main!$D$1,hare!M61,hare!Q61,hare!U61,hare!Y61,hare!H61)=0,"",CHOOSE(Main!$D$1,hare!M61,hare!Q61,hare!U61,hare!Y61,hare!H61))</f>
        <v/>
      </c>
      <c r="E61" s="13">
        <f>CHOOSE(Main!$D$1,hare!N61,hare!R61,hare!V61,hare!Z61,hare!I61)</f>
        <v>0</v>
      </c>
      <c r="F61" s="13">
        <f>CHOOSE(Main!$D$1,hare!O61,hare!S61,hare!W61,hare!AA61,hare!J61)</f>
        <v>0</v>
      </c>
      <c r="G61" s="13"/>
      <c r="H61" s="14"/>
      <c r="I61" s="1"/>
      <c r="J61" s="1"/>
      <c r="K61" s="1"/>
      <c r="L61" s="75" t="s">
        <v>309</v>
      </c>
      <c r="M61" s="76">
        <v>7</v>
      </c>
      <c r="N61" s="76">
        <v>40</v>
      </c>
      <c r="O61" s="13"/>
      <c r="P61" s="76"/>
      <c r="Q61" s="76"/>
      <c r="R61" s="76"/>
      <c r="S61" s="13"/>
      <c r="T61" s="13"/>
      <c r="U61" s="13"/>
      <c r="V61" s="13"/>
      <c r="W61" s="13"/>
      <c r="X61" s="13"/>
      <c r="Y61" s="13"/>
      <c r="Z61" s="14"/>
      <c r="AA61" s="1"/>
      <c r="AB61" s="1"/>
      <c r="AC61" s="1"/>
      <c r="AD61" s="1"/>
    </row>
    <row r="62" spans="2:30">
      <c r="B62" s="16">
        <f t="shared" si="0"/>
        <v>60</v>
      </c>
      <c r="C62" s="13" t="str">
        <f>IF(CHOOSE(Main!$D$1,hare!L62,hare!P62,hare!T62,hare!X62,hare!G62)=0,"",CHOOSE(Main!$D$1,hare!L62,hare!P62,hare!T62,hare!X62,hare!G62))</f>
        <v/>
      </c>
      <c r="D62" s="13" t="str">
        <f>IF(CHOOSE(Main!$D$1,hare!M62,hare!Q62,hare!U62,hare!Y62,hare!H62)=0,"",CHOOSE(Main!$D$1,hare!M62,hare!Q62,hare!U62,hare!Y62,hare!H62))</f>
        <v/>
      </c>
      <c r="E62" s="13">
        <f>CHOOSE(Main!$D$1,hare!N62,hare!R62,hare!V62,hare!Z62,hare!I62)</f>
        <v>0</v>
      </c>
      <c r="F62" s="13">
        <f>CHOOSE(Main!$D$1,hare!O62,hare!S62,hare!W62,hare!AA62,hare!J62)</f>
        <v>0</v>
      </c>
      <c r="G62" s="13"/>
      <c r="H62" s="14"/>
      <c r="I62" s="1"/>
      <c r="J62" s="1"/>
      <c r="K62" s="1"/>
      <c r="L62" s="75" t="s">
        <v>310</v>
      </c>
      <c r="M62" s="76">
        <v>7</v>
      </c>
      <c r="N62" s="76">
        <v>40</v>
      </c>
      <c r="O62" s="13"/>
      <c r="P62" s="76"/>
      <c r="Q62" s="76"/>
      <c r="R62" s="76"/>
      <c r="S62" s="13"/>
      <c r="T62" s="13"/>
      <c r="U62" s="13"/>
      <c r="V62" s="13"/>
      <c r="W62" s="13"/>
      <c r="X62" s="13"/>
      <c r="Y62" s="13"/>
      <c r="Z62" s="14"/>
      <c r="AA62" s="1"/>
      <c r="AB62" s="1"/>
      <c r="AC62" s="1"/>
      <c r="AD62" s="1"/>
    </row>
    <row r="63" spans="2:30">
      <c r="B63" s="16">
        <f t="shared" si="0"/>
        <v>61</v>
      </c>
      <c r="C63" s="13" t="str">
        <f>IF(CHOOSE(Main!$D$1,hare!L63,hare!P63,hare!T63,hare!X63,hare!G63)=0,"",CHOOSE(Main!$D$1,hare!L63,hare!P63,hare!T63,hare!X63,hare!G63))</f>
        <v/>
      </c>
      <c r="D63" s="13" t="str">
        <f>IF(CHOOSE(Main!$D$1,hare!M63,hare!Q63,hare!U63,hare!Y63,hare!H63)=0,"",CHOOSE(Main!$D$1,hare!M63,hare!Q63,hare!U63,hare!Y63,hare!H63))</f>
        <v/>
      </c>
      <c r="E63" s="13">
        <f>CHOOSE(Main!$D$1,hare!N63,hare!R63,hare!V63,hare!Z63,hare!I63)</f>
        <v>0</v>
      </c>
      <c r="F63" s="13">
        <f>CHOOSE(Main!$D$1,hare!O63,hare!S63,hare!W63,hare!AA63,hare!J63)</f>
        <v>0</v>
      </c>
      <c r="G63" s="13"/>
      <c r="H63" s="14"/>
      <c r="I63" s="1"/>
      <c r="J63" s="1"/>
      <c r="K63" s="1"/>
      <c r="L63" s="75"/>
      <c r="M63" s="76"/>
      <c r="N63" s="76"/>
      <c r="O63" s="13"/>
      <c r="P63" s="76"/>
      <c r="Q63" s="76"/>
      <c r="R63" s="76"/>
      <c r="S63" s="13"/>
      <c r="T63" s="13"/>
      <c r="U63" s="13"/>
      <c r="V63" s="13"/>
      <c r="W63" s="13"/>
      <c r="X63" s="13"/>
      <c r="Y63" s="13"/>
      <c r="Z63" s="14"/>
      <c r="AA63" s="1"/>
      <c r="AB63" s="1"/>
      <c r="AC63" s="1"/>
      <c r="AD63" s="1"/>
    </row>
    <row r="64" spans="2:30">
      <c r="B64" s="16">
        <f t="shared" si="0"/>
        <v>62</v>
      </c>
      <c r="C64" s="13" t="str">
        <f>IF(CHOOSE(Main!$D$1,hare!L64,hare!P64,hare!T64,hare!X64,hare!G64)=0,"",CHOOSE(Main!$D$1,hare!L64,hare!P64,hare!T64,hare!X64,hare!G64))</f>
        <v/>
      </c>
      <c r="D64" s="13" t="str">
        <f>IF(CHOOSE(Main!$D$1,hare!M64,hare!Q64,hare!U64,hare!Y64,hare!H64)=0,"",CHOOSE(Main!$D$1,hare!M64,hare!Q64,hare!U64,hare!Y64,hare!H64))</f>
        <v/>
      </c>
      <c r="E64" s="13">
        <f>CHOOSE(Main!$D$1,hare!N64,hare!R64,hare!V64,hare!Z64,hare!I64)</f>
        <v>0</v>
      </c>
      <c r="F64" s="13">
        <f>CHOOSE(Main!$D$1,hare!O64,hare!S64,hare!W64,hare!AA64,hare!J64)</f>
        <v>0</v>
      </c>
      <c r="G64" s="13"/>
      <c r="H64" s="14"/>
      <c r="I64" s="1"/>
      <c r="J64" s="1"/>
      <c r="K64" s="1"/>
      <c r="L64" s="75"/>
      <c r="M64" s="76"/>
      <c r="N64" s="76"/>
      <c r="O64" s="13"/>
      <c r="P64" s="76"/>
      <c r="Q64" s="76"/>
      <c r="R64" s="76"/>
      <c r="S64" s="13"/>
      <c r="T64" s="13"/>
      <c r="U64" s="13"/>
      <c r="V64" s="13"/>
      <c r="W64" s="13"/>
      <c r="X64" s="13"/>
      <c r="Y64" s="13"/>
      <c r="Z64" s="14"/>
      <c r="AA64" s="1"/>
      <c r="AB64" s="1"/>
      <c r="AC64" s="1"/>
      <c r="AD64" s="1"/>
    </row>
    <row r="65" spans="2:30">
      <c r="B65" s="16">
        <f t="shared" si="0"/>
        <v>63</v>
      </c>
      <c r="C65" s="13" t="str">
        <f>IF(CHOOSE(Main!$D$1,hare!L65,hare!P65,hare!T65,hare!X65,hare!G65)=0,"",CHOOSE(Main!$D$1,hare!L65,hare!P65,hare!T65,hare!X65,hare!G65))</f>
        <v/>
      </c>
      <c r="D65" s="13" t="str">
        <f>IF(CHOOSE(Main!$D$1,hare!M65,hare!Q65,hare!U65,hare!Y65,hare!H65)=0,"",CHOOSE(Main!$D$1,hare!M65,hare!Q65,hare!U65,hare!Y65,hare!H65))</f>
        <v/>
      </c>
      <c r="E65" s="13">
        <f>CHOOSE(Main!$D$1,hare!N65,hare!R65,hare!V65,hare!Z65,hare!I65)</f>
        <v>0</v>
      </c>
      <c r="F65" s="13">
        <f>CHOOSE(Main!$D$1,hare!O65,hare!S65,hare!W65,hare!AA65,hare!J65)</f>
        <v>0</v>
      </c>
      <c r="G65" s="13"/>
      <c r="H65" s="14"/>
      <c r="I65" s="1"/>
      <c r="J65" s="1"/>
      <c r="K65" s="1"/>
      <c r="L65" s="75"/>
      <c r="M65" s="76"/>
      <c r="N65" s="76"/>
      <c r="O65" s="13"/>
      <c r="P65" s="76"/>
      <c r="Q65" s="76"/>
      <c r="R65" s="76"/>
      <c r="S65" s="13"/>
      <c r="T65" s="13"/>
      <c r="U65" s="13"/>
      <c r="V65" s="13"/>
      <c r="W65" s="13"/>
      <c r="X65" s="13"/>
      <c r="Y65" s="13"/>
      <c r="Z65" s="14"/>
      <c r="AA65" s="1"/>
      <c r="AB65" s="1"/>
      <c r="AC65" s="1"/>
      <c r="AD65" s="1"/>
    </row>
    <row r="66" spans="2:30">
      <c r="B66" s="16">
        <f t="shared" si="0"/>
        <v>64</v>
      </c>
      <c r="C66" s="13" t="str">
        <f>IF(CHOOSE(Main!$D$1,hare!L66,hare!P66,hare!T66,hare!X66,hare!G66)=0,"",CHOOSE(Main!$D$1,hare!L66,hare!P66,hare!T66,hare!X66,hare!G66))</f>
        <v/>
      </c>
      <c r="D66" s="13" t="str">
        <f>IF(CHOOSE(Main!$D$1,hare!M66,hare!Q66,hare!U66,hare!Y66,hare!H66)=0,"",CHOOSE(Main!$D$1,hare!M66,hare!Q66,hare!U66,hare!Y66,hare!H66))</f>
        <v/>
      </c>
      <c r="E66" s="13">
        <f>CHOOSE(Main!$D$1,hare!N66,hare!R66,hare!V66,hare!Z66,hare!I66)</f>
        <v>0</v>
      </c>
      <c r="F66" s="13">
        <f>CHOOSE(Main!$D$1,hare!O66,hare!S66,hare!W66,hare!AA66,hare!J66)</f>
        <v>0</v>
      </c>
      <c r="G66" s="13"/>
      <c r="H66" s="14"/>
      <c r="I66" s="1"/>
      <c r="J66" s="1"/>
      <c r="K66" s="1"/>
      <c r="L66" s="75"/>
      <c r="M66" s="76"/>
      <c r="N66" s="76"/>
      <c r="O66" s="13"/>
      <c r="P66" s="76"/>
      <c r="Q66" s="76"/>
      <c r="R66" s="76"/>
      <c r="S66" s="13"/>
      <c r="T66" s="13"/>
      <c r="U66" s="13"/>
      <c r="V66" s="13"/>
      <c r="W66" s="13"/>
      <c r="X66" s="13"/>
      <c r="Y66" s="13"/>
      <c r="Z66" s="14"/>
      <c r="AA66" s="1"/>
      <c r="AB66" s="1"/>
      <c r="AC66" s="1"/>
      <c r="AD66" s="1"/>
    </row>
    <row r="67" spans="2:30">
      <c r="B67" s="16">
        <f t="shared" si="0"/>
        <v>65</v>
      </c>
      <c r="C67" s="13" t="str">
        <f>IF(CHOOSE(Main!$D$1,hare!L67,hare!P67,hare!T67,hare!X67,hare!G67)=0,"",CHOOSE(Main!$D$1,hare!L67,hare!P67,hare!T67,hare!X67,hare!G67))</f>
        <v/>
      </c>
      <c r="D67" s="13" t="str">
        <f>IF(CHOOSE(Main!$D$1,hare!M67,hare!Q67,hare!U67,hare!Y67,hare!H67)=0,"",CHOOSE(Main!$D$1,hare!M67,hare!Q67,hare!U67,hare!Y67,hare!H67))</f>
        <v/>
      </c>
      <c r="E67" s="13">
        <f>CHOOSE(Main!$D$1,hare!N67,hare!R67,hare!V67,hare!Z67,hare!I67)</f>
        <v>0</v>
      </c>
      <c r="F67" s="13">
        <f>CHOOSE(Main!$D$1,hare!O67,hare!S67,hare!W67,hare!AA67,hare!J67)</f>
        <v>0</v>
      </c>
      <c r="G67" s="13"/>
      <c r="H67" s="14"/>
      <c r="I67" s="1"/>
      <c r="J67" s="1"/>
      <c r="K67" s="1"/>
      <c r="L67" s="75"/>
      <c r="M67" s="76"/>
      <c r="N67" s="76"/>
      <c r="O67" s="13"/>
      <c r="P67" s="76"/>
      <c r="Q67" s="76"/>
      <c r="R67" s="76"/>
      <c r="S67" s="13"/>
      <c r="T67" s="13"/>
      <c r="U67" s="13"/>
      <c r="V67" s="13"/>
      <c r="W67" s="13"/>
      <c r="X67" s="13"/>
      <c r="Y67" s="13"/>
      <c r="Z67" s="14"/>
      <c r="AA67" s="1"/>
      <c r="AB67" s="1"/>
      <c r="AC67" s="1"/>
      <c r="AD67" s="1"/>
    </row>
    <row r="68" spans="2:30">
      <c r="B68" s="16">
        <f t="shared" si="0"/>
        <v>66</v>
      </c>
      <c r="C68" s="13" t="str">
        <f>IF(CHOOSE(Main!$D$1,hare!L68,hare!P68,hare!T68,hare!X68,hare!G68)=0,"",CHOOSE(Main!$D$1,hare!L68,hare!P68,hare!T68,hare!X68,hare!G68))</f>
        <v/>
      </c>
      <c r="D68" s="13" t="str">
        <f>IF(CHOOSE(Main!$D$1,hare!M68,hare!Q68,hare!U68,hare!Y68,hare!H68)=0,"",CHOOSE(Main!$D$1,hare!M68,hare!Q68,hare!U68,hare!Y68,hare!H68))</f>
        <v/>
      </c>
      <c r="E68" s="13">
        <f>CHOOSE(Main!$D$1,hare!N68,hare!R68,hare!V68,hare!Z68,hare!I68)</f>
        <v>0</v>
      </c>
      <c r="F68" s="13">
        <f>CHOOSE(Main!$D$1,hare!O68,hare!S68,hare!W68,hare!AA68,hare!J68)</f>
        <v>0</v>
      </c>
      <c r="G68" s="13"/>
      <c r="H68" s="14"/>
      <c r="I68" s="1"/>
      <c r="J68" s="1"/>
      <c r="K68" s="1"/>
      <c r="L68" s="75"/>
      <c r="M68" s="76"/>
      <c r="N68" s="76"/>
      <c r="O68" s="13"/>
      <c r="P68" s="76"/>
      <c r="Q68" s="76"/>
      <c r="R68" s="76"/>
      <c r="S68" s="13"/>
      <c r="T68" s="13"/>
      <c r="U68" s="13"/>
      <c r="V68" s="13"/>
      <c r="W68" s="13"/>
      <c r="X68" s="13"/>
      <c r="Y68" s="13"/>
      <c r="Z68" s="14"/>
      <c r="AA68" s="1"/>
      <c r="AB68" s="1"/>
      <c r="AC68" s="1"/>
      <c r="AD68" s="1"/>
    </row>
    <row r="69" spans="2:30">
      <c r="B69" s="16">
        <f t="shared" ref="B69:B102" si="1">B68+1</f>
        <v>67</v>
      </c>
      <c r="C69" s="13" t="str">
        <f>IF(CHOOSE(Main!$D$1,hare!L69,hare!P69,hare!T69,hare!X69,hare!G69)=0,"",CHOOSE(Main!$D$1,hare!L69,hare!P69,hare!T69,hare!X69,hare!G69))</f>
        <v/>
      </c>
      <c r="D69" s="13" t="str">
        <f>IF(CHOOSE(Main!$D$1,hare!M69,hare!Q69,hare!U69,hare!Y69,hare!H69)=0,"",CHOOSE(Main!$D$1,hare!M69,hare!Q69,hare!U69,hare!Y69,hare!H69))</f>
        <v/>
      </c>
      <c r="E69" s="13">
        <f>CHOOSE(Main!$D$1,hare!N69,hare!R69,hare!V69,hare!Z69,hare!I69)</f>
        <v>0</v>
      </c>
      <c r="F69" s="13">
        <f>CHOOSE(Main!$D$1,hare!O69,hare!S69,hare!W69,hare!AA69,hare!J69)</f>
        <v>0</v>
      </c>
      <c r="G69" s="13"/>
      <c r="H69" s="14"/>
      <c r="I69" s="1"/>
      <c r="J69" s="1"/>
      <c r="K69" s="1"/>
      <c r="L69" s="75"/>
      <c r="M69" s="76"/>
      <c r="N69" s="76"/>
      <c r="O69" s="13"/>
      <c r="P69" s="76"/>
      <c r="Q69" s="76"/>
      <c r="R69" s="76"/>
      <c r="S69" s="13"/>
      <c r="T69" s="13"/>
      <c r="U69" s="13"/>
      <c r="V69" s="13"/>
      <c r="W69" s="13"/>
      <c r="X69" s="13"/>
      <c r="Y69" s="13"/>
      <c r="Z69" s="14"/>
      <c r="AA69" s="1"/>
      <c r="AB69" s="1"/>
      <c r="AC69" s="1"/>
      <c r="AD69" s="1"/>
    </row>
    <row r="70" spans="2:30">
      <c r="B70" s="16">
        <f t="shared" si="1"/>
        <v>68</v>
      </c>
      <c r="C70" s="13" t="str">
        <f>IF(CHOOSE(Main!$D$1,hare!L70,hare!P70,hare!T70,hare!X70,hare!G70)=0,"",CHOOSE(Main!$D$1,hare!L70,hare!P70,hare!T70,hare!X70,hare!G70))</f>
        <v/>
      </c>
      <c r="D70" s="13" t="str">
        <f>IF(CHOOSE(Main!$D$1,hare!M70,hare!Q70,hare!U70,hare!Y70,hare!H70)=0,"",CHOOSE(Main!$D$1,hare!M70,hare!Q70,hare!U70,hare!Y70,hare!H70))</f>
        <v/>
      </c>
      <c r="E70" s="13">
        <f>CHOOSE(Main!$D$1,hare!N70,hare!R70,hare!V70,hare!Z70,hare!I70)</f>
        <v>0</v>
      </c>
      <c r="F70" s="13">
        <f>CHOOSE(Main!$D$1,hare!O70,hare!S70,hare!W70,hare!AA70,hare!J70)</f>
        <v>0</v>
      </c>
      <c r="G70" s="13"/>
      <c r="H70" s="14"/>
      <c r="I70" s="1"/>
      <c r="J70" s="1"/>
      <c r="K70" s="1"/>
      <c r="L70" s="75"/>
      <c r="M70" s="76"/>
      <c r="N70" s="76"/>
      <c r="O70" s="13"/>
      <c r="P70" s="76"/>
      <c r="Q70" s="76"/>
      <c r="R70" s="76"/>
      <c r="S70" s="13"/>
      <c r="T70" s="13"/>
      <c r="U70" s="13"/>
      <c r="V70" s="13"/>
      <c r="W70" s="13"/>
      <c r="X70" s="13"/>
      <c r="Y70" s="13"/>
      <c r="Z70" s="14"/>
      <c r="AA70" s="1"/>
      <c r="AB70" s="1"/>
      <c r="AC70" s="1"/>
      <c r="AD70" s="1"/>
    </row>
    <row r="71" spans="2:30">
      <c r="B71" s="16">
        <f t="shared" si="1"/>
        <v>69</v>
      </c>
      <c r="C71" s="13" t="str">
        <f>IF(CHOOSE(Main!$D$1,hare!L71,hare!P71,hare!T71,hare!X71,hare!G71)=0,"",CHOOSE(Main!$D$1,hare!L71,hare!P71,hare!T71,hare!X71,hare!G71))</f>
        <v/>
      </c>
      <c r="D71" s="13" t="str">
        <f>IF(CHOOSE(Main!$D$1,hare!M71,hare!Q71,hare!U71,hare!Y71,hare!H71)=0,"",CHOOSE(Main!$D$1,hare!M71,hare!Q71,hare!U71,hare!Y71,hare!H71))</f>
        <v/>
      </c>
      <c r="E71" s="13">
        <f>CHOOSE(Main!$D$1,hare!N71,hare!R71,hare!V71,hare!Z71,hare!I71)</f>
        <v>0</v>
      </c>
      <c r="F71" s="13">
        <f>CHOOSE(Main!$D$1,hare!O71,hare!S71,hare!W71,hare!AA71,hare!J71)</f>
        <v>0</v>
      </c>
      <c r="G71" s="13"/>
      <c r="H71" s="14"/>
      <c r="I71" s="1"/>
      <c r="J71" s="1"/>
      <c r="K71" s="1"/>
      <c r="L71" s="75"/>
      <c r="M71" s="76"/>
      <c r="N71" s="76"/>
      <c r="O71" s="13"/>
      <c r="P71" s="76"/>
      <c r="Q71" s="76"/>
      <c r="R71" s="76"/>
      <c r="S71" s="13"/>
      <c r="T71" s="13"/>
      <c r="U71" s="13"/>
      <c r="V71" s="13"/>
      <c r="W71" s="13"/>
      <c r="X71" s="13"/>
      <c r="Y71" s="13"/>
      <c r="Z71" s="14"/>
      <c r="AA71" s="1"/>
      <c r="AB71" s="1"/>
      <c r="AC71" s="1"/>
      <c r="AD71" s="1"/>
    </row>
    <row r="72" spans="2:30">
      <c r="B72" s="16">
        <f t="shared" si="1"/>
        <v>70</v>
      </c>
      <c r="C72" s="13" t="str">
        <f>IF(CHOOSE(Main!$D$1,hare!L72,hare!P72,hare!T72,hare!X72,hare!G72)=0,"",CHOOSE(Main!$D$1,hare!L72,hare!P72,hare!T72,hare!X72,hare!G72))</f>
        <v/>
      </c>
      <c r="D72" s="13" t="str">
        <f>IF(CHOOSE(Main!$D$1,hare!M72,hare!Q72,hare!U72,hare!Y72,hare!H72)=0,"",CHOOSE(Main!$D$1,hare!M72,hare!Q72,hare!U72,hare!Y72,hare!H72))</f>
        <v/>
      </c>
      <c r="E72" s="13">
        <f>CHOOSE(Main!$D$1,hare!N72,hare!R72,hare!V72,hare!Z72,hare!I72)</f>
        <v>0</v>
      </c>
      <c r="F72" s="13">
        <f>CHOOSE(Main!$D$1,hare!O72,hare!S72,hare!W72,hare!AA72,hare!J72)</f>
        <v>0</v>
      </c>
      <c r="G72" s="13"/>
      <c r="H72" s="14"/>
      <c r="I72" s="1"/>
      <c r="J72" s="1"/>
      <c r="K72" s="1"/>
      <c r="L72" s="75"/>
      <c r="M72" s="76"/>
      <c r="N72" s="76"/>
      <c r="O72" s="13"/>
      <c r="P72" s="76"/>
      <c r="Q72" s="76"/>
      <c r="R72" s="76"/>
      <c r="S72" s="13"/>
      <c r="T72" s="13"/>
      <c r="U72" s="13"/>
      <c r="V72" s="13"/>
      <c r="W72" s="13"/>
      <c r="X72" s="13"/>
      <c r="Y72" s="13"/>
      <c r="Z72" s="14"/>
      <c r="AA72" s="1"/>
      <c r="AB72" s="1"/>
      <c r="AC72" s="1"/>
      <c r="AD72" s="1"/>
    </row>
    <row r="73" spans="2:30">
      <c r="B73" s="16">
        <f t="shared" si="1"/>
        <v>71</v>
      </c>
      <c r="C73" s="13" t="str">
        <f>IF(CHOOSE(Main!$D$1,hare!L73,hare!P73,hare!T73,hare!X73,hare!G73)=0,"",CHOOSE(Main!$D$1,hare!L73,hare!P73,hare!T73,hare!X73,hare!G73))</f>
        <v/>
      </c>
      <c r="D73" s="13" t="str">
        <f>IF(CHOOSE(Main!$D$1,hare!M73,hare!Q73,hare!U73,hare!Y73,hare!H73)=0,"",CHOOSE(Main!$D$1,hare!M73,hare!Q73,hare!U73,hare!Y73,hare!H73))</f>
        <v/>
      </c>
      <c r="E73" s="13">
        <f>CHOOSE(Main!$D$1,hare!N73,hare!R73,hare!V73,hare!Z73,hare!I73)</f>
        <v>0</v>
      </c>
      <c r="F73" s="13">
        <f>CHOOSE(Main!$D$1,hare!O73,hare!S73,hare!W73,hare!AA73,hare!J73)</f>
        <v>0</v>
      </c>
      <c r="G73" s="13"/>
      <c r="H73" s="14"/>
      <c r="I73" s="1"/>
      <c r="J73" s="1"/>
      <c r="K73" s="1"/>
      <c r="L73" s="75"/>
      <c r="M73" s="76"/>
      <c r="N73" s="76"/>
      <c r="O73" s="13"/>
      <c r="P73" s="76"/>
      <c r="Q73" s="76"/>
      <c r="R73" s="76"/>
      <c r="S73" s="13"/>
      <c r="T73" s="13"/>
      <c r="U73" s="13"/>
      <c r="V73" s="13"/>
      <c r="W73" s="13"/>
      <c r="X73" s="13"/>
      <c r="Y73" s="13"/>
      <c r="Z73" s="14"/>
      <c r="AA73" s="1"/>
      <c r="AB73" s="1"/>
      <c r="AC73" s="1"/>
      <c r="AD73" s="1"/>
    </row>
    <row r="74" spans="2:30">
      <c r="B74" s="16">
        <f t="shared" si="1"/>
        <v>72</v>
      </c>
      <c r="C74" s="13" t="str">
        <f>IF(CHOOSE(Main!$D$1,hare!L74,hare!P74,hare!T74,hare!X74,hare!G74)=0,"",CHOOSE(Main!$D$1,hare!L74,hare!P74,hare!T74,hare!X74,hare!G74))</f>
        <v/>
      </c>
      <c r="D74" s="13" t="str">
        <f>IF(CHOOSE(Main!$D$1,hare!M74,hare!Q74,hare!U74,hare!Y74,hare!H74)=0,"",CHOOSE(Main!$D$1,hare!M74,hare!Q74,hare!U74,hare!Y74,hare!H74))</f>
        <v/>
      </c>
      <c r="E74" s="13">
        <f>CHOOSE(Main!$D$1,hare!N74,hare!R74,hare!V74,hare!Z74,hare!I74)</f>
        <v>0</v>
      </c>
      <c r="F74" s="13">
        <f>CHOOSE(Main!$D$1,hare!O74,hare!S74,hare!W74,hare!AA74,hare!J74)</f>
        <v>0</v>
      </c>
      <c r="G74" s="13"/>
      <c r="H74" s="14"/>
      <c r="I74" s="1"/>
      <c r="J74" s="1"/>
      <c r="K74" s="1"/>
      <c r="L74" s="75"/>
      <c r="M74" s="76"/>
      <c r="N74" s="76"/>
      <c r="O74" s="13"/>
      <c r="P74" s="76"/>
      <c r="Q74" s="76"/>
      <c r="R74" s="76"/>
      <c r="S74" s="13"/>
      <c r="T74" s="13"/>
      <c r="U74" s="13"/>
      <c r="V74" s="13"/>
      <c r="W74" s="13"/>
      <c r="X74" s="13"/>
      <c r="Y74" s="13"/>
      <c r="Z74" s="14"/>
      <c r="AA74" s="1"/>
      <c r="AB74" s="1"/>
      <c r="AC74" s="1"/>
      <c r="AD74" s="1"/>
    </row>
    <row r="75" spans="2:30">
      <c r="B75" s="16">
        <f t="shared" si="1"/>
        <v>73</v>
      </c>
      <c r="C75" s="13" t="str">
        <f>IF(CHOOSE(Main!$D$1,hare!L75,hare!P75,hare!T75,hare!X75,hare!G75)=0,"",CHOOSE(Main!$D$1,hare!L75,hare!P75,hare!T75,hare!X75,hare!G75))</f>
        <v/>
      </c>
      <c r="D75" s="13" t="str">
        <f>IF(CHOOSE(Main!$D$1,hare!M75,hare!Q75,hare!U75,hare!Y75,hare!H75)=0,"",CHOOSE(Main!$D$1,hare!M75,hare!Q75,hare!U75,hare!Y75,hare!H75))</f>
        <v/>
      </c>
      <c r="E75" s="13">
        <f>CHOOSE(Main!$D$1,hare!N75,hare!R75,hare!V75,hare!Z75,hare!I75)</f>
        <v>0</v>
      </c>
      <c r="F75" s="13">
        <f>CHOOSE(Main!$D$1,hare!O75,hare!S75,hare!W75,hare!AA75,hare!J75)</f>
        <v>0</v>
      </c>
      <c r="G75" s="13"/>
      <c r="H75" s="14"/>
      <c r="I75" s="1"/>
      <c r="J75" s="1"/>
      <c r="K75" s="1"/>
      <c r="L75" s="75"/>
      <c r="M75" s="76"/>
      <c r="N75" s="76"/>
      <c r="O75" s="13"/>
      <c r="P75" s="76"/>
      <c r="Q75" s="76"/>
      <c r="R75" s="76"/>
      <c r="S75" s="13"/>
      <c r="T75" s="13"/>
      <c r="U75" s="13"/>
      <c r="V75" s="13"/>
      <c r="W75" s="13"/>
      <c r="X75" s="13"/>
      <c r="Y75" s="13"/>
      <c r="Z75" s="14"/>
      <c r="AA75" s="1"/>
      <c r="AB75" s="1"/>
      <c r="AC75" s="1"/>
      <c r="AD75" s="1"/>
    </row>
    <row r="76" spans="2:30">
      <c r="B76" s="16">
        <f t="shared" si="1"/>
        <v>74</v>
      </c>
      <c r="C76" s="13" t="str">
        <f>IF(CHOOSE(Main!$D$1,hare!L76,hare!P76,hare!T76,hare!X76,hare!G76)=0,"",CHOOSE(Main!$D$1,hare!L76,hare!P76,hare!T76,hare!X76,hare!G76))</f>
        <v/>
      </c>
      <c r="D76" s="13" t="str">
        <f>IF(CHOOSE(Main!$D$1,hare!M76,hare!Q76,hare!U76,hare!Y76,hare!H76)=0,"",CHOOSE(Main!$D$1,hare!M76,hare!Q76,hare!U76,hare!Y76,hare!H76))</f>
        <v/>
      </c>
      <c r="E76" s="13">
        <f>CHOOSE(Main!$D$1,hare!N76,hare!R76,hare!V76,hare!Z76,hare!I76)</f>
        <v>0</v>
      </c>
      <c r="F76" s="13">
        <f>CHOOSE(Main!$D$1,hare!O76,hare!S76,hare!W76,hare!AA76,hare!J76)</f>
        <v>0</v>
      </c>
      <c r="G76" s="13"/>
      <c r="H76" s="14"/>
      <c r="I76" s="1"/>
      <c r="J76" s="1"/>
      <c r="K76" s="1"/>
      <c r="L76" s="75"/>
      <c r="M76" s="76"/>
      <c r="N76" s="76"/>
      <c r="O76" s="13"/>
      <c r="P76" s="76"/>
      <c r="Q76" s="76"/>
      <c r="R76" s="76"/>
      <c r="S76" s="13"/>
      <c r="T76" s="13"/>
      <c r="U76" s="13"/>
      <c r="V76" s="13"/>
      <c r="W76" s="13"/>
      <c r="X76" s="13"/>
      <c r="Y76" s="13"/>
      <c r="Z76" s="14"/>
      <c r="AA76" s="1"/>
      <c r="AB76" s="1"/>
      <c r="AC76" s="1"/>
      <c r="AD76" s="1"/>
    </row>
    <row r="77" spans="2:30">
      <c r="B77" s="16">
        <f t="shared" si="1"/>
        <v>75</v>
      </c>
      <c r="C77" s="13" t="str">
        <f>IF(CHOOSE(Main!$D$1,hare!L77,hare!P77,hare!T77,hare!X77,hare!G77)=0,"",CHOOSE(Main!$D$1,hare!L77,hare!P77,hare!T77,hare!X77,hare!G77))</f>
        <v/>
      </c>
      <c r="D77" s="13" t="str">
        <f>IF(CHOOSE(Main!$D$1,hare!M77,hare!Q77,hare!U77,hare!Y77,hare!H77)=0,"",CHOOSE(Main!$D$1,hare!M77,hare!Q77,hare!U77,hare!Y77,hare!H77))</f>
        <v/>
      </c>
      <c r="E77" s="13">
        <f>CHOOSE(Main!$D$1,hare!N77,hare!R77,hare!V77,hare!Z77,hare!I77)</f>
        <v>0</v>
      </c>
      <c r="F77" s="13">
        <f>CHOOSE(Main!$D$1,hare!O77,hare!S77,hare!W77,hare!AA77,hare!J77)</f>
        <v>0</v>
      </c>
      <c r="G77" s="13"/>
      <c r="H77" s="14"/>
      <c r="I77" s="1"/>
      <c r="J77" s="1"/>
      <c r="K77" s="1"/>
      <c r="L77" s="75"/>
      <c r="M77" s="76"/>
      <c r="N77" s="76"/>
      <c r="O77" s="13"/>
      <c r="P77" s="76"/>
      <c r="Q77" s="76"/>
      <c r="R77" s="76"/>
      <c r="S77" s="13"/>
      <c r="T77" s="13"/>
      <c r="U77" s="13"/>
      <c r="V77" s="13"/>
      <c r="W77" s="13"/>
      <c r="X77" s="13"/>
      <c r="Y77" s="13"/>
      <c r="Z77" s="14"/>
      <c r="AA77" s="1"/>
      <c r="AB77" s="1"/>
      <c r="AC77" s="1"/>
      <c r="AD77" s="1"/>
    </row>
    <row r="78" spans="2:30">
      <c r="B78" s="16">
        <f t="shared" si="1"/>
        <v>76</v>
      </c>
      <c r="C78" s="13" t="str">
        <f>IF(CHOOSE(Main!$D$1,hare!L78,hare!P78,hare!T78,hare!X78,hare!G78)=0,"",CHOOSE(Main!$D$1,hare!L78,hare!P78,hare!T78,hare!X78,hare!G78))</f>
        <v/>
      </c>
      <c r="D78" s="13" t="str">
        <f>IF(CHOOSE(Main!$D$1,hare!M78,hare!Q78,hare!U78,hare!Y78,hare!H78)=0,"",CHOOSE(Main!$D$1,hare!M78,hare!Q78,hare!U78,hare!Y78,hare!H78))</f>
        <v/>
      </c>
      <c r="E78" s="13">
        <f>CHOOSE(Main!$D$1,hare!N78,hare!R78,hare!V78,hare!Z78,hare!I78)</f>
        <v>0</v>
      </c>
      <c r="F78" s="13">
        <f>CHOOSE(Main!$D$1,hare!O78,hare!S78,hare!W78,hare!AA78,hare!J78)</f>
        <v>0</v>
      </c>
      <c r="G78" s="13"/>
      <c r="H78" s="14"/>
      <c r="I78" s="1"/>
      <c r="J78" s="1"/>
      <c r="K78" s="1"/>
      <c r="L78" s="75"/>
      <c r="M78" s="76"/>
      <c r="N78" s="76"/>
      <c r="O78" s="13"/>
      <c r="P78" s="76"/>
      <c r="Q78" s="76"/>
      <c r="R78" s="76"/>
      <c r="S78" s="13"/>
      <c r="T78" s="13"/>
      <c r="U78" s="13"/>
      <c r="V78" s="13"/>
      <c r="W78" s="13"/>
      <c r="X78" s="13"/>
      <c r="Y78" s="13"/>
      <c r="Z78" s="14"/>
      <c r="AA78" s="1"/>
      <c r="AB78" s="1"/>
      <c r="AC78" s="1"/>
      <c r="AD78" s="1"/>
    </row>
    <row r="79" spans="2:30">
      <c r="B79" s="16">
        <f t="shared" si="1"/>
        <v>77</v>
      </c>
      <c r="C79" s="13" t="str">
        <f>IF(CHOOSE(Main!$D$1,hare!L79,hare!P79,hare!T79,hare!X79,hare!G79)=0,"",CHOOSE(Main!$D$1,hare!L79,hare!P79,hare!T79,hare!X79,hare!G79))</f>
        <v/>
      </c>
      <c r="D79" s="13" t="str">
        <f>IF(CHOOSE(Main!$D$1,hare!M79,hare!Q79,hare!U79,hare!Y79,hare!H79)=0,"",CHOOSE(Main!$D$1,hare!M79,hare!Q79,hare!U79,hare!Y79,hare!H79))</f>
        <v/>
      </c>
      <c r="E79" s="13">
        <f>CHOOSE(Main!$D$1,hare!N79,hare!R79,hare!V79,hare!Z79,hare!I79)</f>
        <v>0</v>
      </c>
      <c r="F79" s="13">
        <f>CHOOSE(Main!$D$1,hare!O79,hare!S79,hare!W79,hare!AA79,hare!J79)</f>
        <v>0</v>
      </c>
      <c r="G79" s="13"/>
      <c r="H79" s="14"/>
      <c r="I79" s="1"/>
      <c r="J79" s="1"/>
      <c r="K79" s="1"/>
      <c r="L79" s="75"/>
      <c r="M79" s="76"/>
      <c r="N79" s="76"/>
      <c r="O79" s="13"/>
      <c r="P79" s="76"/>
      <c r="Q79" s="76"/>
      <c r="R79" s="76"/>
      <c r="S79" s="13"/>
      <c r="T79" s="13"/>
      <c r="U79" s="13"/>
      <c r="V79" s="13"/>
      <c r="W79" s="13"/>
      <c r="X79" s="13"/>
      <c r="Y79" s="13"/>
      <c r="Z79" s="14"/>
      <c r="AA79" s="1"/>
      <c r="AB79" s="1"/>
      <c r="AC79" s="1"/>
      <c r="AD79" s="1"/>
    </row>
    <row r="80" spans="2:30">
      <c r="B80" s="16">
        <f t="shared" si="1"/>
        <v>78</v>
      </c>
      <c r="C80" s="13" t="str">
        <f>IF(CHOOSE(Main!$D$1,hare!L80,hare!P80,hare!T80,hare!X80,hare!G80)=0,"",CHOOSE(Main!$D$1,hare!L80,hare!P80,hare!T80,hare!X80,hare!G80))</f>
        <v/>
      </c>
      <c r="D80" s="13" t="str">
        <f>IF(CHOOSE(Main!$D$1,hare!M80,hare!Q80,hare!U80,hare!Y80,hare!H80)=0,"",CHOOSE(Main!$D$1,hare!M80,hare!Q80,hare!U80,hare!Y80,hare!H80))</f>
        <v/>
      </c>
      <c r="E80" s="13">
        <f>CHOOSE(Main!$D$1,hare!N80,hare!R80,hare!V80,hare!Z80,hare!I80)</f>
        <v>0</v>
      </c>
      <c r="F80" s="13">
        <f>CHOOSE(Main!$D$1,hare!O80,hare!S80,hare!W80,hare!AA80,hare!J80)</f>
        <v>0</v>
      </c>
      <c r="G80" s="13"/>
      <c r="H80" s="14"/>
      <c r="I80" s="1"/>
      <c r="J80" s="1"/>
      <c r="K80" s="1"/>
      <c r="L80" s="75"/>
      <c r="M80" s="76"/>
      <c r="N80" s="76"/>
      <c r="O80" s="13"/>
      <c r="P80" s="76"/>
      <c r="Q80" s="76"/>
      <c r="R80" s="76"/>
      <c r="S80" s="13"/>
      <c r="T80" s="13"/>
      <c r="U80" s="13"/>
      <c r="V80" s="13"/>
      <c r="W80" s="13"/>
      <c r="X80" s="13"/>
      <c r="Y80" s="13"/>
      <c r="Z80" s="14"/>
      <c r="AA80" s="1"/>
      <c r="AB80" s="1"/>
      <c r="AC80" s="1"/>
      <c r="AD80" s="1"/>
    </row>
    <row r="81" spans="2:30">
      <c r="B81" s="16">
        <f t="shared" si="1"/>
        <v>79</v>
      </c>
      <c r="C81" s="13" t="str">
        <f>IF(CHOOSE(Main!$D$1,hare!L81,hare!P81,hare!T81,hare!X81,hare!G81)=0,"",CHOOSE(Main!$D$1,hare!L81,hare!P81,hare!T81,hare!X81,hare!G81))</f>
        <v/>
      </c>
      <c r="D81" s="13" t="str">
        <f>IF(CHOOSE(Main!$D$1,hare!M81,hare!Q81,hare!U81,hare!Y81,hare!H81)=0,"",CHOOSE(Main!$D$1,hare!M81,hare!Q81,hare!U81,hare!Y81,hare!H81))</f>
        <v/>
      </c>
      <c r="E81" s="13">
        <f>CHOOSE(Main!$D$1,hare!N81,hare!R81,hare!V81,hare!Z81,hare!I81)</f>
        <v>0</v>
      </c>
      <c r="F81" s="13">
        <f>CHOOSE(Main!$D$1,hare!O81,hare!S81,hare!W81,hare!AA81,hare!J81)</f>
        <v>0</v>
      </c>
      <c r="G81" s="13"/>
      <c r="H81" s="14"/>
      <c r="I81" s="1"/>
      <c r="J81" s="1"/>
      <c r="K81" s="1"/>
      <c r="L81" s="75"/>
      <c r="M81" s="76"/>
      <c r="N81" s="76"/>
      <c r="O81" s="13"/>
      <c r="P81" s="76"/>
      <c r="Q81" s="76"/>
      <c r="R81" s="76"/>
      <c r="S81" s="13"/>
      <c r="T81" s="13"/>
      <c r="U81" s="13"/>
      <c r="V81" s="13"/>
      <c r="W81" s="13"/>
      <c r="X81" s="13"/>
      <c r="Y81" s="13"/>
      <c r="Z81" s="14"/>
      <c r="AA81" s="1"/>
      <c r="AB81" s="1"/>
      <c r="AC81" s="1"/>
      <c r="AD81" s="1"/>
    </row>
    <row r="82" spans="2:30">
      <c r="B82" s="16">
        <f t="shared" si="1"/>
        <v>80</v>
      </c>
      <c r="C82" s="13" t="str">
        <f>IF(CHOOSE(Main!$D$1,hare!L82,hare!P82,hare!T82,hare!X82,hare!G82)=0,"",CHOOSE(Main!$D$1,hare!L82,hare!P82,hare!T82,hare!X82,hare!G82))</f>
        <v/>
      </c>
      <c r="D82" s="13" t="str">
        <f>IF(CHOOSE(Main!$D$1,hare!M82,hare!Q82,hare!U82,hare!Y82,hare!H82)=0,"",CHOOSE(Main!$D$1,hare!M82,hare!Q82,hare!U82,hare!Y82,hare!H82))</f>
        <v/>
      </c>
      <c r="E82" s="13">
        <f>CHOOSE(Main!$D$1,hare!N82,hare!R82,hare!V82,hare!Z82,hare!I82)</f>
        <v>0</v>
      </c>
      <c r="F82" s="13">
        <f>CHOOSE(Main!$D$1,hare!O82,hare!S82,hare!W82,hare!AA82,hare!J82)</f>
        <v>0</v>
      </c>
      <c r="G82" s="13"/>
      <c r="H82" s="14"/>
      <c r="I82" s="1"/>
      <c r="J82" s="1"/>
      <c r="K82" s="1"/>
      <c r="L82" s="75"/>
      <c r="M82" s="76"/>
      <c r="N82" s="76"/>
      <c r="O82" s="13"/>
      <c r="P82" s="76"/>
      <c r="Q82" s="76"/>
      <c r="R82" s="76"/>
      <c r="S82" s="13"/>
      <c r="T82" s="13"/>
      <c r="U82" s="13"/>
      <c r="V82" s="13"/>
      <c r="W82" s="13"/>
      <c r="X82" s="13"/>
      <c r="Y82" s="13"/>
      <c r="Z82" s="14"/>
      <c r="AA82" s="1"/>
      <c r="AB82" s="1"/>
      <c r="AC82" s="1"/>
      <c r="AD82" s="1"/>
    </row>
    <row r="83" spans="2:30">
      <c r="B83" s="16">
        <f t="shared" si="1"/>
        <v>81</v>
      </c>
      <c r="C83" s="13" t="str">
        <f>IF(CHOOSE(Main!$D$1,hare!L83,hare!P83,hare!T83,hare!X83,hare!G83)=0,"",CHOOSE(Main!$D$1,hare!L83,hare!P83,hare!T83,hare!X83,hare!G83))</f>
        <v/>
      </c>
      <c r="D83" s="13" t="str">
        <f>IF(CHOOSE(Main!$D$1,hare!M83,hare!Q83,hare!U83,hare!Y83,hare!H83)=0,"",CHOOSE(Main!$D$1,hare!M83,hare!Q83,hare!U83,hare!Y83,hare!H83))</f>
        <v/>
      </c>
      <c r="E83" s="13">
        <f>CHOOSE(Main!$D$1,hare!N83,hare!R83,hare!V83,hare!Z83,hare!I83)</f>
        <v>0</v>
      </c>
      <c r="F83" s="13">
        <f>CHOOSE(Main!$D$1,hare!O83,hare!S83,hare!W83,hare!AA83,hare!J83)</f>
        <v>0</v>
      </c>
      <c r="G83" s="13"/>
      <c r="H83" s="14"/>
      <c r="I83" s="1"/>
      <c r="J83" s="1"/>
      <c r="K83" s="1"/>
      <c r="L83" s="75"/>
      <c r="M83" s="76"/>
      <c r="N83" s="76"/>
      <c r="O83" s="13"/>
      <c r="P83" s="76"/>
      <c r="Q83" s="76"/>
      <c r="R83" s="76"/>
      <c r="S83" s="13"/>
      <c r="T83" s="13"/>
      <c r="U83" s="13"/>
      <c r="V83" s="13"/>
      <c r="W83" s="13"/>
      <c r="X83" s="13"/>
      <c r="Y83" s="13"/>
      <c r="Z83" s="14"/>
      <c r="AA83" s="1"/>
      <c r="AB83" s="1"/>
      <c r="AC83" s="1"/>
      <c r="AD83" s="1"/>
    </row>
    <row r="84" spans="2:30">
      <c r="B84" s="16">
        <f t="shared" si="1"/>
        <v>82</v>
      </c>
      <c r="C84" s="13" t="str">
        <f>IF(CHOOSE(Main!$D$1,hare!L84,hare!P84,hare!T84,hare!X84,hare!G84)=0,"",CHOOSE(Main!$D$1,hare!L84,hare!P84,hare!T84,hare!X84,hare!G84))</f>
        <v/>
      </c>
      <c r="D84" s="13" t="str">
        <f>IF(CHOOSE(Main!$D$1,hare!M84,hare!Q84,hare!U84,hare!Y84,hare!H84)=0,"",CHOOSE(Main!$D$1,hare!M84,hare!Q84,hare!U84,hare!Y84,hare!H84))</f>
        <v/>
      </c>
      <c r="E84" s="13">
        <f>CHOOSE(Main!$D$1,hare!N84,hare!R84,hare!V84,hare!Z84,hare!I84)</f>
        <v>0</v>
      </c>
      <c r="F84" s="13">
        <f>CHOOSE(Main!$D$1,hare!O84,hare!S84,hare!W84,hare!AA84,hare!J84)</f>
        <v>0</v>
      </c>
      <c r="G84" s="13"/>
      <c r="H84" s="14"/>
      <c r="I84" s="1"/>
      <c r="J84" s="1"/>
      <c r="K84" s="1"/>
      <c r="L84" s="75"/>
      <c r="M84" s="76"/>
      <c r="N84" s="76"/>
      <c r="O84" s="13"/>
      <c r="P84" s="76"/>
      <c r="Q84" s="76"/>
      <c r="R84" s="76"/>
      <c r="S84" s="13"/>
      <c r="T84" s="13"/>
      <c r="U84" s="13"/>
      <c r="V84" s="13"/>
      <c r="W84" s="13"/>
      <c r="X84" s="13"/>
      <c r="Y84" s="13"/>
      <c r="Z84" s="14"/>
      <c r="AA84" s="1"/>
      <c r="AB84" s="1"/>
      <c r="AC84" s="1"/>
      <c r="AD84" s="1"/>
    </row>
    <row r="85" spans="2:30">
      <c r="B85" s="16">
        <f t="shared" si="1"/>
        <v>83</v>
      </c>
      <c r="C85" s="13" t="str">
        <f>IF(CHOOSE(Main!$D$1,hare!L85,hare!P85,hare!T85,hare!X85,hare!G85)=0,"",CHOOSE(Main!$D$1,hare!L85,hare!P85,hare!T85,hare!X85,hare!G85))</f>
        <v/>
      </c>
      <c r="D85" s="13" t="str">
        <f>IF(CHOOSE(Main!$D$1,hare!M85,hare!Q85,hare!U85,hare!Y85,hare!H85)=0,"",CHOOSE(Main!$D$1,hare!M85,hare!Q85,hare!U85,hare!Y85,hare!H85))</f>
        <v/>
      </c>
      <c r="E85" s="13">
        <f>CHOOSE(Main!$D$1,hare!N85,hare!R85,hare!V85,hare!Z85,hare!I85)</f>
        <v>0</v>
      </c>
      <c r="F85" s="13">
        <f>CHOOSE(Main!$D$1,hare!O85,hare!S85,hare!W85,hare!AA85,hare!J85)</f>
        <v>0</v>
      </c>
      <c r="G85" s="13"/>
      <c r="H85" s="14"/>
      <c r="I85" s="1"/>
      <c r="J85" s="1"/>
      <c r="K85" s="1"/>
      <c r="L85" s="75"/>
      <c r="M85" s="76"/>
      <c r="N85" s="76"/>
      <c r="O85" s="13"/>
      <c r="P85" s="76"/>
      <c r="Q85" s="76"/>
      <c r="R85" s="76"/>
      <c r="S85" s="13"/>
      <c r="T85" s="13"/>
      <c r="U85" s="13"/>
      <c r="V85" s="13"/>
      <c r="W85" s="13"/>
      <c r="X85" s="13"/>
      <c r="Y85" s="13"/>
      <c r="Z85" s="14"/>
      <c r="AA85" s="1"/>
      <c r="AB85" s="1"/>
      <c r="AC85" s="1"/>
      <c r="AD85" s="1"/>
    </row>
    <row r="86" spans="2:30">
      <c r="B86" s="16">
        <f t="shared" si="1"/>
        <v>84</v>
      </c>
      <c r="C86" s="13" t="str">
        <f>IF(CHOOSE(Main!$D$1,hare!L86,hare!P86,hare!T86,hare!X86,hare!G86)=0,"",CHOOSE(Main!$D$1,hare!L86,hare!P86,hare!T86,hare!X86,hare!G86))</f>
        <v/>
      </c>
      <c r="D86" s="13" t="str">
        <f>IF(CHOOSE(Main!$D$1,hare!M86,hare!Q86,hare!U86,hare!Y86,hare!H86)=0,"",CHOOSE(Main!$D$1,hare!M86,hare!Q86,hare!U86,hare!Y86,hare!H86))</f>
        <v/>
      </c>
      <c r="E86" s="13">
        <f>CHOOSE(Main!$D$1,hare!N86,hare!R86,hare!V86,hare!Z86,hare!I86)</f>
        <v>0</v>
      </c>
      <c r="F86" s="13">
        <f>CHOOSE(Main!$D$1,hare!O86,hare!S86,hare!W86,hare!AA86,hare!J86)</f>
        <v>0</v>
      </c>
      <c r="G86" s="13"/>
      <c r="H86" s="14"/>
      <c r="I86" s="1"/>
      <c r="J86" s="1"/>
      <c r="K86" s="1"/>
      <c r="L86" s="75"/>
      <c r="M86" s="76"/>
      <c r="N86" s="76"/>
      <c r="O86" s="13"/>
      <c r="P86" s="76"/>
      <c r="Q86" s="76"/>
      <c r="R86" s="76"/>
      <c r="S86" s="13"/>
      <c r="T86" s="13"/>
      <c r="U86" s="13"/>
      <c r="V86" s="13"/>
      <c r="W86" s="13"/>
      <c r="X86" s="13"/>
      <c r="Y86" s="13"/>
      <c r="Z86" s="14"/>
      <c r="AA86" s="1"/>
      <c r="AB86" s="1"/>
      <c r="AC86" s="1"/>
      <c r="AD86" s="1"/>
    </row>
    <row r="87" spans="2:30">
      <c r="B87" s="16">
        <f t="shared" si="1"/>
        <v>85</v>
      </c>
      <c r="C87" s="13" t="str">
        <f>IF(CHOOSE(Main!$D$1,hare!L87,hare!P87,hare!T87,hare!X87,hare!G87)=0,"",CHOOSE(Main!$D$1,hare!L87,hare!P87,hare!T87,hare!X87,hare!G87))</f>
        <v/>
      </c>
      <c r="D87" s="13" t="str">
        <f>IF(CHOOSE(Main!$D$1,hare!M87,hare!Q87,hare!U87,hare!Y87,hare!H87)=0,"",CHOOSE(Main!$D$1,hare!M87,hare!Q87,hare!U87,hare!Y87,hare!H87))</f>
        <v/>
      </c>
      <c r="E87" s="13">
        <f>CHOOSE(Main!$D$1,hare!N87,hare!R87,hare!V87,hare!Z87,hare!I87)</f>
        <v>0</v>
      </c>
      <c r="F87" s="13">
        <f>CHOOSE(Main!$D$1,hare!O87,hare!S87,hare!W87,hare!AA87,hare!J87)</f>
        <v>0</v>
      </c>
      <c r="G87" s="13"/>
      <c r="H87" s="14"/>
      <c r="I87" s="1"/>
      <c r="J87" s="1"/>
      <c r="K87" s="1"/>
      <c r="L87" s="75"/>
      <c r="M87" s="76"/>
      <c r="N87" s="76"/>
      <c r="O87" s="13"/>
      <c r="P87" s="76"/>
      <c r="Q87" s="76"/>
      <c r="R87" s="76"/>
      <c r="S87" s="13"/>
      <c r="T87" s="13"/>
      <c r="U87" s="13"/>
      <c r="V87" s="13"/>
      <c r="W87" s="13"/>
      <c r="X87" s="13"/>
      <c r="Y87" s="13"/>
      <c r="Z87" s="14"/>
      <c r="AA87" s="1"/>
      <c r="AB87" s="1"/>
      <c r="AC87" s="1"/>
      <c r="AD87" s="1"/>
    </row>
    <row r="88" spans="2:30">
      <c r="B88" s="16">
        <f t="shared" si="1"/>
        <v>86</v>
      </c>
      <c r="C88" s="13" t="str">
        <f>IF(CHOOSE(Main!$D$1,hare!L88,hare!P88,hare!T88,hare!X88,hare!G88)=0,"",CHOOSE(Main!$D$1,hare!L88,hare!P88,hare!T88,hare!X88,hare!G88))</f>
        <v/>
      </c>
      <c r="D88" s="13" t="str">
        <f>IF(CHOOSE(Main!$D$1,hare!M88,hare!Q88,hare!U88,hare!Y88,hare!H88)=0,"",CHOOSE(Main!$D$1,hare!M88,hare!Q88,hare!U88,hare!Y88,hare!H88))</f>
        <v/>
      </c>
      <c r="E88" s="13">
        <f>CHOOSE(Main!$D$1,hare!N88,hare!R88,hare!V88,hare!Z88,hare!I88)</f>
        <v>0</v>
      </c>
      <c r="F88" s="13">
        <f>CHOOSE(Main!$D$1,hare!O88,hare!S88,hare!W88,hare!AA88,hare!J88)</f>
        <v>0</v>
      </c>
      <c r="G88" s="13"/>
      <c r="H88" s="14"/>
      <c r="I88" s="1"/>
      <c r="J88" s="1"/>
      <c r="K88" s="1"/>
      <c r="L88" s="75"/>
      <c r="M88" s="76"/>
      <c r="N88" s="76"/>
      <c r="O88" s="13"/>
      <c r="P88" s="76"/>
      <c r="Q88" s="76"/>
      <c r="R88" s="76"/>
      <c r="S88" s="13"/>
      <c r="T88" s="13"/>
      <c r="U88" s="13"/>
      <c r="V88" s="13"/>
      <c r="W88" s="13"/>
      <c r="X88" s="13"/>
      <c r="Y88" s="13"/>
      <c r="Z88" s="14"/>
      <c r="AA88" s="1"/>
      <c r="AB88" s="1"/>
      <c r="AC88" s="1"/>
      <c r="AD88" s="1"/>
    </row>
    <row r="89" spans="2:30">
      <c r="B89" s="16">
        <f t="shared" si="1"/>
        <v>87</v>
      </c>
      <c r="C89" s="13" t="str">
        <f>IF(CHOOSE(Main!$D$1,hare!L89,hare!P89,hare!T89,hare!X89,hare!G89)=0,"",CHOOSE(Main!$D$1,hare!L89,hare!P89,hare!T89,hare!X89,hare!G89))</f>
        <v/>
      </c>
      <c r="D89" s="13" t="str">
        <f>IF(CHOOSE(Main!$D$1,hare!M89,hare!Q89,hare!U89,hare!Y89,hare!H89)=0,"",CHOOSE(Main!$D$1,hare!M89,hare!Q89,hare!U89,hare!Y89,hare!H89))</f>
        <v/>
      </c>
      <c r="E89" s="13">
        <f>CHOOSE(Main!$D$1,hare!N89,hare!R89,hare!V89,hare!Z89,hare!I89)</f>
        <v>0</v>
      </c>
      <c r="F89" s="13">
        <f>CHOOSE(Main!$D$1,hare!O89,hare!S89,hare!W89,hare!AA89,hare!J89)</f>
        <v>0</v>
      </c>
      <c r="G89" s="13"/>
      <c r="H89" s="14"/>
      <c r="I89" s="1"/>
      <c r="J89" s="1"/>
      <c r="K89" s="1"/>
      <c r="L89" s="75"/>
      <c r="M89" s="76"/>
      <c r="N89" s="76"/>
      <c r="O89" s="13"/>
      <c r="P89" s="76"/>
      <c r="Q89" s="76"/>
      <c r="R89" s="76"/>
      <c r="S89" s="13"/>
      <c r="T89" s="13"/>
      <c r="U89" s="13"/>
      <c r="V89" s="13"/>
      <c r="W89" s="13"/>
      <c r="X89" s="13"/>
      <c r="Y89" s="13"/>
      <c r="Z89" s="14"/>
      <c r="AB89" s="1"/>
      <c r="AC89" s="1"/>
      <c r="AD89" s="1"/>
    </row>
    <row r="90" spans="2:30">
      <c r="B90" s="16">
        <f t="shared" si="1"/>
        <v>88</v>
      </c>
      <c r="C90" s="13" t="str">
        <f>IF(CHOOSE(Main!$D$1,hare!L90,hare!P90,hare!T90,hare!X90,hare!G90)=0,"",CHOOSE(Main!$D$1,hare!L90,hare!P90,hare!T90,hare!X90,hare!G90))</f>
        <v/>
      </c>
      <c r="D90" s="13" t="str">
        <f>IF(CHOOSE(Main!$D$1,hare!M90,hare!Q90,hare!U90,hare!Y90,hare!H90)=0,"",CHOOSE(Main!$D$1,hare!M90,hare!Q90,hare!U90,hare!Y90,hare!H90))</f>
        <v/>
      </c>
      <c r="E90" s="13">
        <f>CHOOSE(Main!$D$1,hare!N90,hare!R90,hare!V90,hare!Z90,hare!I90)</f>
        <v>0</v>
      </c>
      <c r="F90" s="13">
        <f>CHOOSE(Main!$D$1,hare!O90,hare!S90,hare!W90,hare!AA90,hare!J90)</f>
        <v>0</v>
      </c>
      <c r="G90" s="13"/>
      <c r="H90" s="14"/>
      <c r="I90" s="1"/>
      <c r="J90" s="1"/>
      <c r="K90" s="1"/>
      <c r="L90" s="75"/>
      <c r="M90" s="76"/>
      <c r="N90" s="76"/>
      <c r="O90" s="13"/>
      <c r="P90" s="76"/>
      <c r="Q90" s="76"/>
      <c r="R90" s="76"/>
      <c r="S90" s="13"/>
      <c r="T90" s="13"/>
      <c r="U90" s="13"/>
      <c r="V90" s="13"/>
      <c r="W90" s="13"/>
      <c r="X90" s="13"/>
      <c r="Y90" s="13"/>
      <c r="Z90" s="14"/>
      <c r="AA90" s="1"/>
      <c r="AB90" s="1"/>
      <c r="AC90" s="1"/>
      <c r="AD90" s="1"/>
    </row>
    <row r="91" spans="2:30">
      <c r="B91" s="16">
        <f t="shared" si="1"/>
        <v>89</v>
      </c>
      <c r="C91" s="13" t="str">
        <f>IF(CHOOSE(Main!$D$1,hare!L91,hare!P91,hare!T91,hare!X91,hare!G91)=0,"",CHOOSE(Main!$D$1,hare!L91,hare!P91,hare!T91,hare!X91,hare!G91))</f>
        <v/>
      </c>
      <c r="D91" s="13" t="str">
        <f>IF(CHOOSE(Main!$D$1,hare!M91,hare!Q91,hare!U91,hare!Y91,hare!H91)=0,"",CHOOSE(Main!$D$1,hare!M91,hare!Q91,hare!U91,hare!Y91,hare!H91))</f>
        <v/>
      </c>
      <c r="E91" s="13">
        <f>CHOOSE(Main!$D$1,hare!N91,hare!R91,hare!V91,hare!Z91,hare!I91)</f>
        <v>0</v>
      </c>
      <c r="F91" s="13">
        <f>CHOOSE(Main!$D$1,hare!O91,hare!S91,hare!W91,hare!AA91,hare!J91)</f>
        <v>0</v>
      </c>
      <c r="G91" s="13"/>
      <c r="H91" s="14"/>
      <c r="I91" s="1"/>
      <c r="J91" s="1"/>
      <c r="K91" s="1"/>
      <c r="L91" s="75"/>
      <c r="M91" s="76"/>
      <c r="N91" s="76"/>
      <c r="O91" s="13"/>
      <c r="P91" s="76"/>
      <c r="Q91" s="76"/>
      <c r="R91" s="76"/>
      <c r="S91" s="13"/>
      <c r="T91" s="13"/>
      <c r="U91" s="13"/>
      <c r="V91" s="13"/>
      <c r="W91" s="13"/>
      <c r="X91" s="13"/>
      <c r="Y91" s="13"/>
      <c r="Z91" s="14"/>
      <c r="AA91" s="1"/>
      <c r="AB91" s="1"/>
      <c r="AC91" s="1"/>
      <c r="AD91" s="1"/>
    </row>
    <row r="92" spans="2:30">
      <c r="B92" s="16">
        <f t="shared" si="1"/>
        <v>90</v>
      </c>
      <c r="C92" s="13" t="str">
        <f>IF(CHOOSE(Main!$D$1,hare!L92,hare!P92,hare!T92,hare!X92,hare!G92)=0,"",CHOOSE(Main!$D$1,hare!L92,hare!P92,hare!T92,hare!X92,hare!G92))</f>
        <v/>
      </c>
      <c r="D92" s="13" t="str">
        <f>IF(CHOOSE(Main!$D$1,hare!M92,hare!Q92,hare!U92,hare!Y92,hare!H92)=0,"",CHOOSE(Main!$D$1,hare!M92,hare!Q92,hare!U92,hare!Y92,hare!H92))</f>
        <v/>
      </c>
      <c r="E92" s="13">
        <f>CHOOSE(Main!$D$1,hare!N92,hare!R92,hare!V92,hare!Z92,hare!I92)</f>
        <v>0</v>
      </c>
      <c r="F92" s="13">
        <f>CHOOSE(Main!$D$1,hare!O92,hare!S92,hare!W92,hare!AA92,hare!J92)</f>
        <v>0</v>
      </c>
      <c r="G92" s="13"/>
      <c r="H92" s="14"/>
      <c r="I92" s="1"/>
      <c r="J92" s="1"/>
      <c r="K92" s="1"/>
      <c r="L92" s="75"/>
      <c r="M92" s="76"/>
      <c r="N92" s="76"/>
      <c r="O92" s="13"/>
      <c r="P92" s="76"/>
      <c r="Q92" s="76"/>
      <c r="R92" s="76"/>
      <c r="S92" s="13"/>
      <c r="T92" s="13"/>
      <c r="U92" s="13"/>
      <c r="V92" s="13"/>
      <c r="W92" s="13"/>
      <c r="X92" s="13"/>
      <c r="Y92" s="13"/>
      <c r="Z92" s="14"/>
      <c r="AA92" s="1"/>
      <c r="AB92" s="1"/>
      <c r="AC92" s="1"/>
      <c r="AD92" s="1"/>
    </row>
    <row r="93" spans="2:30">
      <c r="B93" s="16">
        <f t="shared" si="1"/>
        <v>91</v>
      </c>
      <c r="C93" s="13" t="str">
        <f>IF(CHOOSE(Main!$D$1,hare!L93,hare!P93,hare!T93,hare!X93,hare!G93)=0,"",CHOOSE(Main!$D$1,hare!L93,hare!P93,hare!T93,hare!X93,hare!G93))</f>
        <v/>
      </c>
      <c r="D93" s="13" t="str">
        <f>IF(CHOOSE(Main!$D$1,hare!M93,hare!Q93,hare!U93,hare!Y93,hare!H93)=0,"",CHOOSE(Main!$D$1,hare!M93,hare!Q93,hare!U93,hare!Y93,hare!H93))</f>
        <v/>
      </c>
      <c r="E93" s="13">
        <f>CHOOSE(Main!$D$1,hare!N93,hare!R93,hare!V93,hare!Z93,hare!I93)</f>
        <v>0</v>
      </c>
      <c r="F93" s="13">
        <f>CHOOSE(Main!$D$1,hare!O93,hare!S93,hare!W93,hare!AA93,hare!J93)</f>
        <v>0</v>
      </c>
      <c r="G93" s="13"/>
      <c r="H93" s="14"/>
      <c r="I93" s="1"/>
      <c r="J93" s="1"/>
      <c r="K93" s="1"/>
      <c r="L93" s="75"/>
      <c r="M93" s="76"/>
      <c r="N93" s="76"/>
      <c r="O93" s="13"/>
      <c r="P93" s="76"/>
      <c r="Q93" s="76"/>
      <c r="R93" s="76"/>
      <c r="S93" s="13"/>
      <c r="T93" s="13"/>
      <c r="U93" s="13"/>
      <c r="V93" s="13"/>
      <c r="W93" s="13"/>
      <c r="X93" s="13"/>
      <c r="Y93" s="13"/>
      <c r="Z93" s="14"/>
      <c r="AA93" s="1"/>
      <c r="AB93" s="1"/>
      <c r="AC93" s="1"/>
      <c r="AD93" s="1"/>
    </row>
    <row r="94" spans="2:30">
      <c r="B94" s="16">
        <f t="shared" si="1"/>
        <v>92</v>
      </c>
      <c r="C94" s="13" t="str">
        <f>IF(CHOOSE(Main!$D$1,hare!L94,hare!P94,hare!T94,hare!X94,hare!G94)=0,"",CHOOSE(Main!$D$1,hare!L94,hare!P94,hare!T94,hare!X94,hare!G94))</f>
        <v/>
      </c>
      <c r="D94" s="13" t="str">
        <f>IF(CHOOSE(Main!$D$1,hare!M94,hare!Q94,hare!U94,hare!Y94,hare!H94)=0,"",CHOOSE(Main!$D$1,hare!M94,hare!Q94,hare!U94,hare!Y94,hare!H94))</f>
        <v/>
      </c>
      <c r="E94" s="13">
        <f>CHOOSE(Main!$D$1,hare!N94,hare!R94,hare!V94,hare!Z94,hare!I94)</f>
        <v>0</v>
      </c>
      <c r="F94" s="13">
        <f>CHOOSE(Main!$D$1,hare!O94,hare!S94,hare!W94,hare!AA94,hare!J94)</f>
        <v>0</v>
      </c>
      <c r="G94" s="13"/>
      <c r="H94" s="14"/>
      <c r="I94" s="1"/>
      <c r="J94" s="1"/>
      <c r="K94" s="1"/>
      <c r="L94" s="75"/>
      <c r="M94" s="76"/>
      <c r="N94" s="76"/>
      <c r="O94" s="13"/>
      <c r="P94" s="76"/>
      <c r="Q94" s="76"/>
      <c r="R94" s="76"/>
      <c r="S94" s="13"/>
      <c r="T94" s="13"/>
      <c r="U94" s="13"/>
      <c r="V94" s="13"/>
      <c r="W94" s="13"/>
      <c r="X94" s="13"/>
      <c r="Y94" s="13"/>
      <c r="Z94" s="14"/>
      <c r="AA94" s="1"/>
      <c r="AB94" s="1"/>
      <c r="AC94" s="1"/>
      <c r="AD94" s="1"/>
    </row>
    <row r="95" spans="2:30">
      <c r="B95" s="16">
        <f t="shared" si="1"/>
        <v>93</v>
      </c>
      <c r="C95" s="13" t="str">
        <f>IF(CHOOSE(Main!$D$1,hare!L95,hare!P95,hare!T95,hare!X95,hare!G95)=0,"",CHOOSE(Main!$D$1,hare!L95,hare!P95,hare!T95,hare!X95,hare!G95))</f>
        <v/>
      </c>
      <c r="D95" s="13" t="str">
        <f>IF(CHOOSE(Main!$D$1,hare!M95,hare!Q95,hare!U95,hare!Y95,hare!H95)=0,"",CHOOSE(Main!$D$1,hare!M95,hare!Q95,hare!U95,hare!Y95,hare!H95))</f>
        <v/>
      </c>
      <c r="E95" s="13">
        <f>CHOOSE(Main!$D$1,hare!N95,hare!R95,hare!V95,hare!Z95,hare!I95)</f>
        <v>0</v>
      </c>
      <c r="F95" s="13">
        <f>CHOOSE(Main!$D$1,hare!O95,hare!S95,hare!W95,hare!AA95,hare!J95)</f>
        <v>0</v>
      </c>
      <c r="G95" s="13"/>
      <c r="H95" s="14"/>
      <c r="I95" s="1"/>
      <c r="J95" s="1"/>
      <c r="K95" s="1"/>
      <c r="L95" s="75"/>
      <c r="M95" s="76"/>
      <c r="N95" s="76"/>
      <c r="O95" s="13"/>
      <c r="P95" s="76"/>
      <c r="Q95" s="76"/>
      <c r="R95" s="76"/>
      <c r="S95" s="13"/>
      <c r="T95" s="13"/>
      <c r="U95" s="13"/>
      <c r="V95" s="13"/>
      <c r="W95" s="13"/>
      <c r="X95" s="13"/>
      <c r="Y95" s="13"/>
      <c r="Z95" s="14"/>
      <c r="AA95" s="1"/>
      <c r="AB95" s="1"/>
      <c r="AC95" s="1"/>
      <c r="AD95" s="1"/>
    </row>
    <row r="96" spans="2:30">
      <c r="B96" s="16">
        <f t="shared" si="1"/>
        <v>94</v>
      </c>
      <c r="C96" s="13" t="str">
        <f>IF(CHOOSE(Main!$D$1,hare!L96,hare!P96,hare!T96,hare!X96,hare!G96)=0,"",CHOOSE(Main!$D$1,hare!L96,hare!P96,hare!T96,hare!X96,hare!G96))</f>
        <v/>
      </c>
      <c r="D96" s="13" t="str">
        <f>IF(CHOOSE(Main!$D$1,hare!M96,hare!Q96,hare!U96,hare!Y96,hare!H96)=0,"",CHOOSE(Main!$D$1,hare!M96,hare!Q96,hare!U96,hare!Y96,hare!H96))</f>
        <v/>
      </c>
      <c r="E96" s="13">
        <f>CHOOSE(Main!$D$1,hare!N96,hare!R96,hare!V96,hare!Z96,hare!I96)</f>
        <v>0</v>
      </c>
      <c r="F96" s="13">
        <f>CHOOSE(Main!$D$1,hare!O96,hare!S96,hare!W96,hare!AA96,hare!J96)</f>
        <v>0</v>
      </c>
      <c r="G96" s="13"/>
      <c r="H96" s="14"/>
      <c r="I96" s="1"/>
      <c r="J96" s="1"/>
      <c r="K96" s="1"/>
      <c r="L96" s="75"/>
      <c r="M96" s="76"/>
      <c r="N96" s="76"/>
      <c r="O96" s="13"/>
      <c r="P96" s="76"/>
      <c r="Q96" s="76"/>
      <c r="R96" s="76"/>
      <c r="S96" s="13"/>
      <c r="T96" s="13"/>
      <c r="U96" s="13"/>
      <c r="V96" s="13"/>
      <c r="W96" s="13"/>
      <c r="X96" s="13"/>
      <c r="Y96" s="13"/>
      <c r="Z96" s="14"/>
      <c r="AA96" s="1"/>
      <c r="AB96" s="1"/>
      <c r="AC96" s="1"/>
      <c r="AD96" s="1"/>
    </row>
    <row r="97" spans="2:30">
      <c r="B97" s="16">
        <f t="shared" si="1"/>
        <v>95</v>
      </c>
      <c r="C97" s="13" t="str">
        <f>IF(CHOOSE(Main!$D$1,hare!L97,hare!P97,hare!T97,hare!X97,hare!G97)=0,"",CHOOSE(Main!$D$1,hare!L97,hare!P97,hare!T97,hare!X97,hare!G97))</f>
        <v/>
      </c>
      <c r="D97" s="13" t="str">
        <f>IF(CHOOSE(Main!$D$1,hare!M97,hare!Q97,hare!U97,hare!Y97,hare!H97)=0,"",CHOOSE(Main!$D$1,hare!M97,hare!Q97,hare!U97,hare!Y97,hare!H97))</f>
        <v/>
      </c>
      <c r="E97" s="13">
        <f>CHOOSE(Main!$D$1,hare!N97,hare!R97,hare!V97,hare!Z97,hare!I97)</f>
        <v>0</v>
      </c>
      <c r="F97" s="13">
        <f>CHOOSE(Main!$D$1,hare!O97,hare!S97,hare!W97,hare!AA97,hare!J97)</f>
        <v>0</v>
      </c>
      <c r="G97" s="13"/>
      <c r="H97" s="14"/>
      <c r="I97" s="1"/>
      <c r="J97" s="1"/>
      <c r="K97" s="1"/>
      <c r="L97" s="75"/>
      <c r="M97" s="76"/>
      <c r="N97" s="76"/>
      <c r="O97" s="13"/>
      <c r="P97" s="76"/>
      <c r="Q97" s="76"/>
      <c r="R97" s="76"/>
      <c r="S97" s="13"/>
      <c r="T97" s="13"/>
      <c r="U97" s="13"/>
      <c r="V97" s="13"/>
      <c r="W97" s="13"/>
      <c r="X97" s="13"/>
      <c r="Y97" s="13"/>
      <c r="Z97" s="14"/>
      <c r="AA97" s="1"/>
      <c r="AB97" s="1"/>
      <c r="AC97" s="1"/>
      <c r="AD97" s="1"/>
    </row>
    <row r="98" spans="2:30">
      <c r="B98" s="16">
        <f t="shared" si="1"/>
        <v>96</v>
      </c>
      <c r="C98" s="13" t="str">
        <f>IF(CHOOSE(Main!$D$1,hare!L98,hare!P98,hare!T98,hare!X98,hare!G98)=0,"",CHOOSE(Main!$D$1,hare!L98,hare!P98,hare!T98,hare!X98,hare!G98))</f>
        <v/>
      </c>
      <c r="D98" s="13" t="str">
        <f>IF(CHOOSE(Main!$D$1,hare!M98,hare!Q98,hare!U98,hare!Y98,hare!H98)=0,"",CHOOSE(Main!$D$1,hare!M98,hare!Q98,hare!U98,hare!Y98,hare!H98))</f>
        <v/>
      </c>
      <c r="E98" s="13">
        <f>CHOOSE(Main!$D$1,hare!N98,hare!R98,hare!V98,hare!Z98,hare!I98)</f>
        <v>0</v>
      </c>
      <c r="F98" s="13">
        <f>CHOOSE(Main!$D$1,hare!O98,hare!S98,hare!W98,hare!AA98,hare!J98)</f>
        <v>0</v>
      </c>
      <c r="G98" s="13"/>
      <c r="H98" s="14"/>
      <c r="I98" s="1"/>
      <c r="J98" s="1"/>
      <c r="K98" s="1"/>
      <c r="L98" s="75"/>
      <c r="M98" s="76"/>
      <c r="N98" s="76"/>
      <c r="O98" s="13"/>
      <c r="P98" s="76"/>
      <c r="Q98" s="76"/>
      <c r="R98" s="76"/>
      <c r="S98" s="13"/>
      <c r="T98" s="13"/>
      <c r="U98" s="13"/>
      <c r="V98" s="13"/>
      <c r="W98" s="13"/>
      <c r="X98" s="13"/>
      <c r="Y98" s="13"/>
      <c r="Z98" s="14"/>
      <c r="AA98" s="1"/>
      <c r="AB98" s="1"/>
      <c r="AC98" s="1"/>
      <c r="AD98" s="1"/>
    </row>
    <row r="99" spans="2:30">
      <c r="B99" s="16">
        <f t="shared" si="1"/>
        <v>97</v>
      </c>
      <c r="C99" s="13" t="str">
        <f>IF(CHOOSE(Main!$D$1,hare!L99,hare!P99,hare!T99,hare!X99,hare!G99)=0,"",CHOOSE(Main!$D$1,hare!L99,hare!P99,hare!T99,hare!X99,hare!G99))</f>
        <v/>
      </c>
      <c r="D99" s="13" t="str">
        <f>IF(CHOOSE(Main!$D$1,hare!M99,hare!Q99,hare!U99,hare!Y99,hare!H99)=0,"",CHOOSE(Main!$D$1,hare!M99,hare!Q99,hare!U99,hare!Y99,hare!H99))</f>
        <v/>
      </c>
      <c r="E99" s="13">
        <f>CHOOSE(Main!$D$1,hare!N99,hare!R99,hare!V99,hare!Z99,hare!I99)</f>
        <v>0</v>
      </c>
      <c r="F99" s="13">
        <f>CHOOSE(Main!$D$1,hare!O99,hare!S99,hare!W99,hare!AA99,hare!J99)</f>
        <v>0</v>
      </c>
      <c r="G99" s="13"/>
      <c r="H99" s="14"/>
      <c r="I99" s="1"/>
      <c r="J99" s="1"/>
      <c r="K99" s="1"/>
      <c r="L99" s="75"/>
      <c r="M99" s="76"/>
      <c r="N99" s="76"/>
      <c r="O99" s="13"/>
      <c r="P99" s="76"/>
      <c r="Q99" s="76"/>
      <c r="R99" s="76"/>
      <c r="S99" s="13"/>
      <c r="T99" s="13"/>
      <c r="U99" s="13"/>
      <c r="V99" s="13"/>
      <c r="W99" s="13"/>
      <c r="X99" s="13"/>
      <c r="Y99" s="13"/>
      <c r="Z99" s="14"/>
      <c r="AA99" s="1"/>
      <c r="AB99" s="1"/>
      <c r="AC99" s="1"/>
      <c r="AD99" s="1"/>
    </row>
    <row r="100" spans="2:30">
      <c r="B100" s="16">
        <f t="shared" si="1"/>
        <v>98</v>
      </c>
      <c r="C100" s="13" t="str">
        <f>IF(CHOOSE(Main!$D$1,hare!L100,hare!P100,hare!T100,hare!X100,hare!G100)=0,"",CHOOSE(Main!$D$1,hare!L100,hare!P100,hare!T100,hare!X100,hare!G100))</f>
        <v/>
      </c>
      <c r="D100" s="13" t="str">
        <f>IF(CHOOSE(Main!$D$1,hare!M100,hare!Q100,hare!U100,hare!Y100,hare!H100)=0,"",CHOOSE(Main!$D$1,hare!M100,hare!Q100,hare!U100,hare!Y100,hare!H100))</f>
        <v/>
      </c>
      <c r="E100" s="13">
        <f>CHOOSE(Main!$D$1,hare!N100,hare!R100,hare!V100,hare!Z100,hare!I100)</f>
        <v>0</v>
      </c>
      <c r="F100" s="13">
        <f>CHOOSE(Main!$D$1,hare!O100,hare!S100,hare!W100,hare!AA100,hare!J100)</f>
        <v>0</v>
      </c>
      <c r="G100" s="13"/>
      <c r="H100" s="14"/>
      <c r="I100" s="1"/>
      <c r="J100" s="1"/>
      <c r="K100" s="1"/>
      <c r="L100" s="75"/>
      <c r="M100" s="76"/>
      <c r="N100" s="76"/>
      <c r="O100" s="13"/>
      <c r="P100" s="76"/>
      <c r="Q100" s="76"/>
      <c r="R100" s="76"/>
      <c r="S100" s="13"/>
      <c r="T100" s="13"/>
      <c r="U100" s="13"/>
      <c r="V100" s="13"/>
      <c r="W100" s="13"/>
      <c r="X100" s="13"/>
      <c r="Y100" s="13"/>
      <c r="Z100" s="14"/>
      <c r="AA100" s="1"/>
      <c r="AB100" s="1"/>
      <c r="AC100" s="1"/>
      <c r="AD100" s="1"/>
    </row>
    <row r="101" spans="2:30">
      <c r="B101" s="16">
        <f t="shared" si="1"/>
        <v>99</v>
      </c>
      <c r="C101" s="13" t="str">
        <f>IF(CHOOSE(Main!$D$1,hare!L101,hare!P101,hare!T101,hare!X101,hare!G101)=0,"",CHOOSE(Main!$D$1,hare!L101,hare!P101,hare!T101,hare!X101,hare!G101))</f>
        <v/>
      </c>
      <c r="D101" s="13" t="str">
        <f>IF(CHOOSE(Main!$D$1,hare!M101,hare!Q101,hare!U101,hare!Y101,hare!H101)=0,"",CHOOSE(Main!$D$1,hare!M101,hare!Q101,hare!U101,hare!Y101,hare!H101))</f>
        <v/>
      </c>
      <c r="E101" s="13">
        <f>CHOOSE(Main!$D$1,hare!N101,hare!R101,hare!V101,hare!Z101,hare!I101)</f>
        <v>0</v>
      </c>
      <c r="F101" s="13">
        <f>CHOOSE(Main!$D$1,hare!O101,hare!S101,hare!W101,hare!AA101,hare!J101)</f>
        <v>0</v>
      </c>
      <c r="G101" s="13"/>
      <c r="H101" s="14"/>
      <c r="I101" s="1"/>
      <c r="J101" s="1"/>
      <c r="K101" s="1"/>
      <c r="L101" s="75"/>
      <c r="M101" s="76"/>
      <c r="N101" s="76"/>
      <c r="O101" s="13"/>
      <c r="P101" s="76"/>
      <c r="Q101" s="76"/>
      <c r="R101" s="76"/>
      <c r="S101" s="13"/>
      <c r="T101" s="13"/>
      <c r="U101" s="13"/>
      <c r="V101" s="13"/>
      <c r="W101" s="13"/>
      <c r="X101" s="13"/>
      <c r="Y101" s="13"/>
      <c r="Z101" s="14"/>
      <c r="AA101" s="1"/>
      <c r="AB101" s="1"/>
      <c r="AC101" s="1"/>
      <c r="AD101" s="1"/>
    </row>
    <row r="102" spans="2:30">
      <c r="B102" s="16">
        <f t="shared" si="1"/>
        <v>100</v>
      </c>
      <c r="C102" s="13" t="str">
        <f>IF(CHOOSE(Main!$D$1,hare!L102,hare!P102,hare!T102,hare!X102,hare!G102)=0,"",CHOOSE(Main!$D$1,hare!L102,hare!P102,hare!T102,hare!X102,hare!G102))</f>
        <v/>
      </c>
      <c r="D102" s="13" t="str">
        <f>IF(CHOOSE(Main!$D$1,hare!M102,hare!Q102,hare!U102,hare!Y102,hare!H102)=0,"",CHOOSE(Main!$D$1,hare!M102,hare!Q102,hare!U102,hare!Y102,hare!H102))</f>
        <v/>
      </c>
      <c r="E102" s="13">
        <f>CHOOSE(Main!$D$1,hare!N102,hare!R102,hare!V102,hare!Z102,hare!I102)</f>
        <v>0</v>
      </c>
      <c r="F102" s="13">
        <f>CHOOSE(Main!$D$1,hare!O102,hare!S102,hare!W102,hare!AA102,hare!J102)</f>
        <v>0</v>
      </c>
      <c r="G102" s="13"/>
      <c r="H102" s="14"/>
      <c r="I102" s="1"/>
      <c r="J102" s="1"/>
      <c r="K102" s="1"/>
      <c r="L102" s="75"/>
      <c r="M102" s="76"/>
      <c r="N102" s="76"/>
      <c r="O102" s="13"/>
      <c r="P102" s="76"/>
      <c r="Q102" s="76"/>
      <c r="R102" s="76"/>
      <c r="S102" s="13"/>
      <c r="T102" s="13"/>
      <c r="U102" s="13"/>
      <c r="V102" s="13"/>
      <c r="W102" s="13"/>
      <c r="X102" s="13"/>
      <c r="Y102" s="13"/>
      <c r="Z102" s="14"/>
      <c r="AA102" s="1"/>
      <c r="AB102" s="1"/>
      <c r="AC102" s="1"/>
      <c r="AD102" s="1"/>
    </row>
    <row r="103" spans="2:30">
      <c r="B103" s="74"/>
      <c r="C103" s="22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</row>
    <row r="104" spans="2:30">
      <c r="B104" s="74"/>
      <c r="C104" s="22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</row>
    <row r="105" spans="2:30">
      <c r="B105" s="74"/>
      <c r="C105" s="22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</row>
    <row r="106" spans="2:30">
      <c r="Y106" s="1"/>
      <c r="Z106" s="1"/>
      <c r="AA106" s="1"/>
      <c r="AB106" s="1"/>
      <c r="AC106" s="1"/>
      <c r="AD106" s="1"/>
    </row>
    <row r="107" spans="2:30">
      <c r="C107" s="6" t="s">
        <v>9</v>
      </c>
      <c r="D107" s="6" t="s">
        <v>10</v>
      </c>
      <c r="E107" s="6"/>
      <c r="F107" s="6"/>
      <c r="Y107" s="1"/>
      <c r="Z107" s="1"/>
      <c r="AA107" s="1"/>
      <c r="AB107" s="1"/>
      <c r="AC107" s="1"/>
      <c r="AD107" s="1"/>
    </row>
    <row r="108" spans="2:30">
      <c r="C108">
        <f>CHOOSE(Main!$A$24,Main!B20,CHOOSE(Main!A25,-1.7,0.7,3.1,-1.7,0.7,3.1,-1.7,0.7,3.1,4,4.3,4.3,4,4),CHOOSE(Main!A25,3.1,0.7,-1.7),CHOOSE(Main!A25,-1.7,0.7,3.1),3.76)</f>
        <v>11</v>
      </c>
      <c r="D108" s="7">
        <f>CHOOSE(Main!$A$24,Main!B21,CHOOSE(Main!A25,-0.09,-0.09,-0.09,4.11,4.11,4.11,8.31,8.31,8.31,3.91,6.91,2.21,6.91,1.91),CHOOSE(Main!A25,4.11,4.11,4.11),CHOOSE(Main!A25,3.1,3.1,3.1),5.91)</f>
        <v>4</v>
      </c>
      <c r="E108" s="7"/>
      <c r="F108" s="7"/>
      <c r="Y108" s="1"/>
      <c r="Z108" s="1"/>
      <c r="AA108" s="1"/>
      <c r="AB108" s="1"/>
      <c r="AC108" s="1"/>
      <c r="AD108" s="1"/>
    </row>
    <row r="109" spans="2:30">
      <c r="C109" s="1" t="s">
        <v>74</v>
      </c>
      <c r="D109" s="1" t="s">
        <v>75</v>
      </c>
      <c r="E109" s="1"/>
      <c r="F109" s="1"/>
      <c r="G109" s="1" t="s">
        <v>74</v>
      </c>
      <c r="H109" s="1" t="s">
        <v>75</v>
      </c>
      <c r="I109" s="1"/>
      <c r="J109" s="1"/>
      <c r="K109" s="1" t="s">
        <v>74</v>
      </c>
      <c r="L109" s="1" t="s">
        <v>75</v>
      </c>
      <c r="M109" s="1" t="s">
        <v>74</v>
      </c>
      <c r="N109" s="1"/>
      <c r="O109" s="1"/>
      <c r="P109" s="1" t="s">
        <v>75</v>
      </c>
      <c r="Q109" s="1" t="s">
        <v>74</v>
      </c>
      <c r="R109" s="1"/>
      <c r="S109" s="1"/>
      <c r="T109" s="1" t="s">
        <v>75</v>
      </c>
      <c r="U109" s="1" t="s">
        <v>74</v>
      </c>
      <c r="V109" s="1"/>
      <c r="W109" s="1"/>
      <c r="X109" s="1" t="s">
        <v>75</v>
      </c>
      <c r="Y109" s="1"/>
      <c r="Z109" s="1"/>
      <c r="AA109" s="1"/>
      <c r="AB109" s="1"/>
      <c r="AC109" s="1"/>
      <c r="AD109" s="1"/>
    </row>
    <row r="110" spans="2:30">
      <c r="C110" s="1">
        <f>VLOOKUP(hare!$C$140,Sheet1!$B:$I,3,0)</f>
        <v>0</v>
      </c>
      <c r="D110" s="1">
        <f>VLOOKUP(hare!$C$140,Sheet1!$B:$I,4,0)</f>
        <v>0</v>
      </c>
      <c r="E110" s="1"/>
      <c r="F110" s="1"/>
      <c r="G110" s="1" t="e">
        <f>VLOOKUP(hare!$C$140&amp;"-2",Sheet1!$B:$I,3,0)</f>
        <v>#N/A</v>
      </c>
      <c r="H110" s="1" t="e">
        <f>VLOOKUP(hare!$C$140&amp;"-2",Sheet1!$B:$I,4,0)</f>
        <v>#N/A</v>
      </c>
      <c r="I110" s="1"/>
      <c r="J110" s="1"/>
      <c r="K110" s="1" t="e">
        <f>VLOOKUP(hare!$C$140&amp;"-3",Sheet1!$B:$I,3,0)</f>
        <v>#N/A</v>
      </c>
      <c r="L110" s="1" t="e">
        <f>VLOOKUP(hare!$C$140&amp;"-3",Sheet1!$B:$I,4,0)</f>
        <v>#N/A</v>
      </c>
      <c r="M110" s="1" t="e">
        <f>VLOOKUP(hare!$C$140&amp;"-4",Sheet1!$B:$I,3,0)</f>
        <v>#N/A</v>
      </c>
      <c r="N110" s="1"/>
      <c r="O110" s="1"/>
      <c r="P110" s="1" t="e">
        <f>VLOOKUP(hare!$C$140&amp;"-4",Sheet1!$B:$I,4,0)</f>
        <v>#N/A</v>
      </c>
      <c r="Q110" s="1" t="e">
        <f>VLOOKUP(hare!$C$140&amp;"-5",Sheet1!$B:$I,3,0)</f>
        <v>#N/A</v>
      </c>
      <c r="R110" s="1"/>
      <c r="S110" s="1"/>
      <c r="T110" s="1" t="e">
        <f>VLOOKUP(hare!$C$140&amp;"-5",Sheet1!$B:$I,4,0)</f>
        <v>#N/A</v>
      </c>
      <c r="U110" s="1" t="e">
        <f>VLOOKUP(hare!$C$140&amp;"-6",Sheet1!$B:$I,3,0)</f>
        <v>#N/A</v>
      </c>
      <c r="V110" s="1"/>
      <c r="W110" s="1"/>
      <c r="X110" s="1" t="e">
        <f>VLOOKUP(hare!$C$140&amp;"-6",Sheet1!$B:$I,4,0)</f>
        <v>#N/A</v>
      </c>
      <c r="Y110" s="1"/>
      <c r="Z110" s="1"/>
      <c r="AA110" s="1"/>
      <c r="AB110" s="1"/>
      <c r="AC110" s="1"/>
      <c r="AD110" s="1"/>
    </row>
    <row r="111" spans="2:30">
      <c r="C111" t="s">
        <v>36</v>
      </c>
      <c r="D111" t="s">
        <v>37</v>
      </c>
      <c r="G111" s="22" t="s">
        <v>36</v>
      </c>
      <c r="H111" s="22" t="s">
        <v>37</v>
      </c>
      <c r="K111" s="22" t="s">
        <v>36</v>
      </c>
      <c r="L111" s="22" t="s">
        <v>37</v>
      </c>
      <c r="M111" s="22" t="s">
        <v>36</v>
      </c>
      <c r="P111" s="22" t="s">
        <v>37</v>
      </c>
      <c r="Q111" s="22" t="s">
        <v>36</v>
      </c>
      <c r="T111" s="22" t="s">
        <v>37</v>
      </c>
      <c r="U111" s="22" t="s">
        <v>36</v>
      </c>
      <c r="X111" s="22" t="s">
        <v>37</v>
      </c>
      <c r="Y111" s="1"/>
      <c r="Z111" s="1"/>
      <c r="AA111" s="1"/>
      <c r="AB111" s="1"/>
      <c r="AC111" s="1"/>
      <c r="AD111" s="1"/>
    </row>
    <row r="112" spans="2:30">
      <c r="C112">
        <f>C108+C110</f>
        <v>11</v>
      </c>
      <c r="D112" s="22">
        <f>D108+D110</f>
        <v>4</v>
      </c>
      <c r="G112" s="22" t="e">
        <f>C108+G110</f>
        <v>#N/A</v>
      </c>
      <c r="H112" s="22" t="e">
        <f>D108+H110</f>
        <v>#N/A</v>
      </c>
      <c r="K112" s="22" t="e">
        <f>C108+K110</f>
        <v>#N/A</v>
      </c>
      <c r="L112" s="22" t="e">
        <f>D108+L110</f>
        <v>#N/A</v>
      </c>
      <c r="M112" s="22" t="e">
        <f>C108+M110</f>
        <v>#N/A</v>
      </c>
      <c r="P112" s="22" t="e">
        <f>D108+P110</f>
        <v>#N/A</v>
      </c>
      <c r="Q112" s="22" t="e">
        <f>C108+Q110</f>
        <v>#N/A</v>
      </c>
      <c r="T112" s="22" t="e">
        <f>D108+T110</f>
        <v>#N/A</v>
      </c>
      <c r="U112" s="22" t="e">
        <f>C108+U110</f>
        <v>#N/A</v>
      </c>
      <c r="X112" s="22" t="e">
        <f>D108+X110</f>
        <v>#N/A</v>
      </c>
      <c r="Y112" s="1"/>
      <c r="Z112" s="1"/>
      <c r="AA112" s="1"/>
      <c r="AB112" s="1"/>
      <c r="AC112" s="1"/>
      <c r="AD112" s="1"/>
    </row>
    <row r="113" spans="2:30">
      <c r="D113" s="7" t="s">
        <v>30</v>
      </c>
      <c r="E113" s="7"/>
      <c r="F113" s="7"/>
      <c r="G113" s="1"/>
      <c r="H113" s="1" t="s">
        <v>31</v>
      </c>
      <c r="I113" s="1"/>
      <c r="J113" s="1"/>
      <c r="K113" s="1"/>
      <c r="L113" s="1" t="s">
        <v>32</v>
      </c>
      <c r="M113" s="1"/>
      <c r="N113" s="1"/>
      <c r="O113" s="1"/>
      <c r="P113" s="1" t="s">
        <v>33</v>
      </c>
      <c r="Q113" s="1"/>
      <c r="R113" s="1"/>
      <c r="S113" s="1"/>
      <c r="T113" s="1" t="s">
        <v>34</v>
      </c>
      <c r="U113" s="1"/>
      <c r="V113" s="1"/>
      <c r="W113" s="1"/>
      <c r="X113" s="1" t="s">
        <v>35</v>
      </c>
      <c r="Y113" s="1"/>
      <c r="Z113" s="1"/>
      <c r="AA113" s="1"/>
      <c r="AB113" s="1"/>
      <c r="AC113" s="1"/>
      <c r="AD113" s="1"/>
    </row>
    <row r="114" spans="2:30">
      <c r="C114" s="1">
        <f>VLOOKUP(hare!$C$140,Sheet1!$B:$I,6,0)+0.4</f>
        <v>2.9</v>
      </c>
      <c r="D114" s="1">
        <f>VLOOKUP(hare!$C$140,Sheet1!$B:$I,7,0)+0.4</f>
        <v>0.4</v>
      </c>
      <c r="E114" s="1"/>
      <c r="F114" s="1"/>
      <c r="G114" s="1" t="e">
        <f>VLOOKUP(hare!$C$140&amp;"-2",Sheet1!$B:$I,6,0)+0.4</f>
        <v>#N/A</v>
      </c>
      <c r="H114" s="1" t="e">
        <f>VLOOKUP(hare!$C$140&amp;"-2",Sheet1!$B:$I,7,0)+0.4</f>
        <v>#N/A</v>
      </c>
      <c r="I114" s="1"/>
      <c r="J114" s="1"/>
      <c r="K114" s="1" t="e">
        <f>VLOOKUP(hare!$C$140&amp;"-3",Sheet1!$B:$I,6,0)+0.4</f>
        <v>#N/A</v>
      </c>
      <c r="L114" s="1" t="e">
        <f>VLOOKUP(hare!$C$140&amp;"-3",Sheet1!$B:$I,7,0)+0.4</f>
        <v>#N/A</v>
      </c>
      <c r="M114" s="1" t="e">
        <f>VLOOKUP(hare!$C$140&amp;"-4",Sheet1!$B:$I,6,0)+0.4</f>
        <v>#N/A</v>
      </c>
      <c r="N114" s="1"/>
      <c r="O114" s="1"/>
      <c r="P114" s="1" t="e">
        <f>VLOOKUP(hare!$C$140&amp;"-4",Sheet1!$B:$I,7,0)+0.4</f>
        <v>#N/A</v>
      </c>
      <c r="Q114" s="1" t="e">
        <f>VLOOKUP(hare!$C$140&amp;"-5",Sheet1!$B:$I,6,0)+0.4</f>
        <v>#N/A</v>
      </c>
      <c r="R114" s="1"/>
      <c r="S114" s="1"/>
      <c r="T114" s="1" t="e">
        <f>VLOOKUP(hare!$C$140&amp;"-5",Sheet1!$B:$I,7,0)+0.4</f>
        <v>#N/A</v>
      </c>
      <c r="U114" s="1" t="e">
        <f>VLOOKUP(hare!$C$140&amp;"-6",Sheet1!$B:$I,6,0)+0.4</f>
        <v>#N/A</v>
      </c>
      <c r="V114" s="1"/>
      <c r="W114" s="1"/>
      <c r="X114" s="1" t="e">
        <f>VLOOKUP(hare!$C$140&amp;"-6",Sheet1!$B:$I,7,0)+0.4</f>
        <v>#N/A</v>
      </c>
      <c r="AA114" s="1"/>
      <c r="AB114" s="1"/>
      <c r="AC114" s="1"/>
      <c r="AD114" s="1"/>
    </row>
    <row r="115" spans="2:30">
      <c r="B115" s="7">
        <v>0</v>
      </c>
      <c r="C115" s="7">
        <f t="shared" ref="C115:C139" si="2">IF($G$140=1,$C$114*COS($B115*PI()/180)+$C$112,NA())</f>
        <v>13.9</v>
      </c>
      <c r="D115" s="7">
        <f t="shared" ref="D115:D139" si="3">IF($G$140=1,$C$114*SIN($B115*PI()/180)+$D$112,NA())</f>
        <v>4</v>
      </c>
      <c r="E115" s="7"/>
      <c r="F115" s="7"/>
      <c r="G115" s="7" t="e">
        <f t="shared" ref="G115:G139" si="4">IF($G$140=1,$G$114*COS($B115*PI()/180)+$G$112,NA())</f>
        <v>#N/A</v>
      </c>
      <c r="H115" s="7" t="e">
        <f t="shared" ref="H115:H139" si="5">IF($G$140=1,$G$114*SIN($B115*PI()/180)+$H$112,NA())</f>
        <v>#N/A</v>
      </c>
      <c r="I115" s="7"/>
      <c r="J115" s="7"/>
      <c r="K115" s="7" t="e">
        <f t="shared" ref="K115:K139" si="6">IF($G$140=1,$K$114*COS($B115*PI()/180)+$K$112,NA())</f>
        <v>#N/A</v>
      </c>
      <c r="L115" s="7" t="e">
        <f t="shared" ref="L115:L139" si="7">IF($G$140=1,$K$114*SIN($B115*PI()/180)+$L$112,NA())</f>
        <v>#N/A</v>
      </c>
      <c r="M115" s="7" t="e">
        <f t="shared" ref="M115:M139" si="8">IF($G$140=1,$M$114*COS($B115*PI()/180)+$M$112,NA())</f>
        <v>#N/A</v>
      </c>
      <c r="N115" s="7"/>
      <c r="O115" s="7"/>
      <c r="P115" s="7" t="e">
        <f t="shared" ref="P115:P139" si="9">IF($G$140=1,$M$114*SIN($B115*PI()/180)+$P$112,NA())</f>
        <v>#N/A</v>
      </c>
      <c r="Q115" s="7" t="e">
        <f t="shared" ref="Q115:Q139" si="10">IF($G$140=1,$Q$114*COS($B115*PI()/180)+$Q$112,NA())</f>
        <v>#N/A</v>
      </c>
      <c r="R115" s="7"/>
      <c r="S115" s="7"/>
      <c r="T115" s="7" t="e">
        <f t="shared" ref="T115:T139" si="11">IF($G$140=1,$Q$114*SIN($B115*PI()/180)+$T$112,NA())</f>
        <v>#N/A</v>
      </c>
      <c r="U115" s="7" t="e">
        <f t="shared" ref="U115:U139" si="12">IF($G$140=1,$U$114*COS($B115*PI()/180)+$U$112,NA())</f>
        <v>#N/A</v>
      </c>
      <c r="V115" s="7"/>
      <c r="W115" s="7"/>
      <c r="X115" s="7" t="e">
        <f t="shared" ref="X115:X139" si="13">IF($G$140=1,$U$114*SIN($B115*PI()/180)+$X$112,NA())</f>
        <v>#N/A</v>
      </c>
      <c r="Y115" s="1"/>
      <c r="Z115" s="1"/>
      <c r="AA115" s="1"/>
      <c r="AB115" s="1"/>
      <c r="AC115" s="1"/>
      <c r="AD115" s="1"/>
    </row>
    <row r="116" spans="2:30">
      <c r="B116" s="7">
        <v>15</v>
      </c>
      <c r="C116" s="7">
        <f t="shared" si="2"/>
        <v>13.801184896238297</v>
      </c>
      <c r="D116" s="7">
        <f t="shared" si="3"/>
        <v>4.7505752307973097</v>
      </c>
      <c r="E116" s="7"/>
      <c r="F116" s="7"/>
      <c r="G116" s="7" t="e">
        <f t="shared" si="4"/>
        <v>#N/A</v>
      </c>
      <c r="H116" s="7" t="e">
        <f t="shared" si="5"/>
        <v>#N/A</v>
      </c>
      <c r="I116" s="7"/>
      <c r="J116" s="7"/>
      <c r="K116" s="7" t="e">
        <f t="shared" si="6"/>
        <v>#N/A</v>
      </c>
      <c r="L116" s="7" t="e">
        <f t="shared" si="7"/>
        <v>#N/A</v>
      </c>
      <c r="M116" s="7" t="e">
        <f t="shared" si="8"/>
        <v>#N/A</v>
      </c>
      <c r="N116" s="7"/>
      <c r="O116" s="7"/>
      <c r="P116" s="7" t="e">
        <f t="shared" si="9"/>
        <v>#N/A</v>
      </c>
      <c r="Q116" s="7" t="e">
        <f t="shared" si="10"/>
        <v>#N/A</v>
      </c>
      <c r="R116" s="7"/>
      <c r="S116" s="7"/>
      <c r="T116" s="7" t="e">
        <f t="shared" si="11"/>
        <v>#N/A</v>
      </c>
      <c r="U116" s="7" t="e">
        <f t="shared" si="12"/>
        <v>#N/A</v>
      </c>
      <c r="V116" s="7"/>
      <c r="W116" s="7"/>
      <c r="X116" s="7" t="e">
        <f t="shared" si="13"/>
        <v>#N/A</v>
      </c>
      <c r="Y116" s="1"/>
      <c r="Z116" s="1"/>
      <c r="AA116" s="1"/>
      <c r="AB116" s="1"/>
      <c r="AC116" s="1"/>
      <c r="AD116" s="1"/>
    </row>
    <row r="117" spans="2:30">
      <c r="B117" s="7">
        <v>30</v>
      </c>
      <c r="C117" s="7">
        <f t="shared" si="2"/>
        <v>13.511473670974873</v>
      </c>
      <c r="D117" s="7">
        <f t="shared" si="3"/>
        <v>5.4499999999999993</v>
      </c>
      <c r="E117" s="7"/>
      <c r="F117" s="7"/>
      <c r="G117" s="7" t="e">
        <f t="shared" si="4"/>
        <v>#N/A</v>
      </c>
      <c r="H117" s="7" t="e">
        <f t="shared" si="5"/>
        <v>#N/A</v>
      </c>
      <c r="I117" s="7"/>
      <c r="J117" s="7"/>
      <c r="K117" s="7" t="e">
        <f t="shared" si="6"/>
        <v>#N/A</v>
      </c>
      <c r="L117" s="7" t="e">
        <f t="shared" si="7"/>
        <v>#N/A</v>
      </c>
      <c r="M117" s="7" t="e">
        <f t="shared" si="8"/>
        <v>#N/A</v>
      </c>
      <c r="N117" s="7"/>
      <c r="O117" s="7"/>
      <c r="P117" s="7" t="e">
        <f t="shared" si="9"/>
        <v>#N/A</v>
      </c>
      <c r="Q117" s="7" t="e">
        <f t="shared" si="10"/>
        <v>#N/A</v>
      </c>
      <c r="R117" s="7"/>
      <c r="S117" s="7"/>
      <c r="T117" s="7" t="e">
        <f t="shared" si="11"/>
        <v>#N/A</v>
      </c>
      <c r="U117" s="7" t="e">
        <f t="shared" si="12"/>
        <v>#N/A</v>
      </c>
      <c r="V117" s="7"/>
      <c r="W117" s="7"/>
      <c r="X117" s="7" t="e">
        <f t="shared" si="13"/>
        <v>#N/A</v>
      </c>
      <c r="Y117" s="1"/>
      <c r="Z117" s="1"/>
      <c r="AA117" s="1"/>
      <c r="AB117" s="1"/>
      <c r="AC117" s="1"/>
      <c r="AD117" s="1"/>
    </row>
    <row r="118" spans="2:30">
      <c r="B118" s="7">
        <v>45</v>
      </c>
      <c r="C118" s="7">
        <f t="shared" si="2"/>
        <v>13.050609665440987</v>
      </c>
      <c r="D118" s="7">
        <f t="shared" si="3"/>
        <v>6.0506096654409873</v>
      </c>
      <c r="E118" s="7"/>
      <c r="F118" s="7"/>
      <c r="G118" s="7" t="e">
        <f t="shared" si="4"/>
        <v>#N/A</v>
      </c>
      <c r="H118" s="7" t="e">
        <f t="shared" si="5"/>
        <v>#N/A</v>
      </c>
      <c r="I118" s="7"/>
      <c r="J118" s="7"/>
      <c r="K118" s="7" t="e">
        <f t="shared" si="6"/>
        <v>#N/A</v>
      </c>
      <c r="L118" s="7" t="e">
        <f t="shared" si="7"/>
        <v>#N/A</v>
      </c>
      <c r="M118" s="7" t="e">
        <f t="shared" si="8"/>
        <v>#N/A</v>
      </c>
      <c r="N118" s="7"/>
      <c r="O118" s="7"/>
      <c r="P118" s="7" t="e">
        <f t="shared" si="9"/>
        <v>#N/A</v>
      </c>
      <c r="Q118" s="7" t="e">
        <f t="shared" si="10"/>
        <v>#N/A</v>
      </c>
      <c r="R118" s="7"/>
      <c r="S118" s="7"/>
      <c r="T118" s="7" t="e">
        <f t="shared" si="11"/>
        <v>#N/A</v>
      </c>
      <c r="U118" s="7" t="e">
        <f t="shared" si="12"/>
        <v>#N/A</v>
      </c>
      <c r="V118" s="7"/>
      <c r="W118" s="7"/>
      <c r="X118" s="7" t="e">
        <f t="shared" si="13"/>
        <v>#N/A</v>
      </c>
      <c r="Y118" s="1"/>
      <c r="Z118" s="1"/>
      <c r="AA118" s="1"/>
      <c r="AB118" s="1"/>
      <c r="AC118" s="1"/>
      <c r="AD118" s="1"/>
    </row>
    <row r="119" spans="2:30">
      <c r="B119" s="7">
        <v>60</v>
      </c>
      <c r="C119" s="7">
        <f t="shared" si="2"/>
        <v>12.45</v>
      </c>
      <c r="D119" s="7">
        <f t="shared" si="3"/>
        <v>6.5114736709748717</v>
      </c>
      <c r="E119" s="7"/>
      <c r="F119" s="7"/>
      <c r="G119" s="7" t="e">
        <f t="shared" si="4"/>
        <v>#N/A</v>
      </c>
      <c r="H119" s="7" t="e">
        <f t="shared" si="5"/>
        <v>#N/A</v>
      </c>
      <c r="I119" s="7"/>
      <c r="J119" s="7"/>
      <c r="K119" s="7" t="e">
        <f t="shared" si="6"/>
        <v>#N/A</v>
      </c>
      <c r="L119" s="7" t="e">
        <f t="shared" si="7"/>
        <v>#N/A</v>
      </c>
      <c r="M119" s="7" t="e">
        <f t="shared" si="8"/>
        <v>#N/A</v>
      </c>
      <c r="N119" s="7"/>
      <c r="O119" s="7"/>
      <c r="P119" s="7" t="e">
        <f t="shared" si="9"/>
        <v>#N/A</v>
      </c>
      <c r="Q119" s="7" t="e">
        <f t="shared" si="10"/>
        <v>#N/A</v>
      </c>
      <c r="R119" s="7"/>
      <c r="S119" s="7"/>
      <c r="T119" s="7" t="e">
        <f t="shared" si="11"/>
        <v>#N/A</v>
      </c>
      <c r="U119" s="7" t="e">
        <f t="shared" si="12"/>
        <v>#N/A</v>
      </c>
      <c r="V119" s="7"/>
      <c r="W119" s="7"/>
      <c r="X119" s="7" t="e">
        <f t="shared" si="13"/>
        <v>#N/A</v>
      </c>
      <c r="Y119" s="1"/>
      <c r="Z119" s="1"/>
      <c r="AA119" s="1"/>
      <c r="AB119" s="1"/>
      <c r="AC119" s="1"/>
      <c r="AD119" s="1"/>
    </row>
    <row r="120" spans="2:30">
      <c r="B120" s="7">
        <v>75</v>
      </c>
      <c r="C120" s="7">
        <f t="shared" si="2"/>
        <v>11.75057523079731</v>
      </c>
      <c r="D120" s="7">
        <f t="shared" si="3"/>
        <v>6.8011848962382979</v>
      </c>
      <c r="E120" s="7"/>
      <c r="F120" s="7"/>
      <c r="G120" s="7" t="e">
        <f t="shared" si="4"/>
        <v>#N/A</v>
      </c>
      <c r="H120" s="7" t="e">
        <f t="shared" si="5"/>
        <v>#N/A</v>
      </c>
      <c r="I120" s="7"/>
      <c r="J120" s="7"/>
      <c r="K120" s="7" t="e">
        <f t="shared" si="6"/>
        <v>#N/A</v>
      </c>
      <c r="L120" s="7" t="e">
        <f t="shared" si="7"/>
        <v>#N/A</v>
      </c>
      <c r="M120" s="7" t="e">
        <f t="shared" si="8"/>
        <v>#N/A</v>
      </c>
      <c r="N120" s="7"/>
      <c r="O120" s="7"/>
      <c r="P120" s="7" t="e">
        <f t="shared" si="9"/>
        <v>#N/A</v>
      </c>
      <c r="Q120" s="7" t="e">
        <f t="shared" si="10"/>
        <v>#N/A</v>
      </c>
      <c r="R120" s="7"/>
      <c r="S120" s="7"/>
      <c r="T120" s="7" t="e">
        <f t="shared" si="11"/>
        <v>#N/A</v>
      </c>
      <c r="U120" s="7" t="e">
        <f t="shared" si="12"/>
        <v>#N/A</v>
      </c>
      <c r="V120" s="7"/>
      <c r="W120" s="7"/>
      <c r="X120" s="7" t="e">
        <f t="shared" si="13"/>
        <v>#N/A</v>
      </c>
      <c r="Y120" s="1"/>
      <c r="Z120" s="1"/>
      <c r="AA120" s="1"/>
      <c r="AB120" s="1"/>
      <c r="AC120" s="1"/>
      <c r="AD120" s="1"/>
    </row>
    <row r="121" spans="2:30">
      <c r="B121" s="7">
        <v>90</v>
      </c>
      <c r="C121" s="7">
        <f t="shared" si="2"/>
        <v>11</v>
      </c>
      <c r="D121" s="7">
        <f t="shared" si="3"/>
        <v>6.9</v>
      </c>
      <c r="E121" s="7"/>
      <c r="F121" s="7"/>
      <c r="G121" s="7" t="e">
        <f t="shared" si="4"/>
        <v>#N/A</v>
      </c>
      <c r="H121" s="7" t="e">
        <f t="shared" si="5"/>
        <v>#N/A</v>
      </c>
      <c r="I121" s="7"/>
      <c r="J121" s="7"/>
      <c r="K121" s="7" t="e">
        <f t="shared" si="6"/>
        <v>#N/A</v>
      </c>
      <c r="L121" s="7" t="e">
        <f t="shared" si="7"/>
        <v>#N/A</v>
      </c>
      <c r="M121" s="7" t="e">
        <f t="shared" si="8"/>
        <v>#N/A</v>
      </c>
      <c r="N121" s="7"/>
      <c r="O121" s="7"/>
      <c r="P121" s="7" t="e">
        <f t="shared" si="9"/>
        <v>#N/A</v>
      </c>
      <c r="Q121" s="7" t="e">
        <f t="shared" si="10"/>
        <v>#N/A</v>
      </c>
      <c r="R121" s="7"/>
      <c r="S121" s="7"/>
      <c r="T121" s="7" t="e">
        <f t="shared" si="11"/>
        <v>#N/A</v>
      </c>
      <c r="U121" s="7" t="e">
        <f t="shared" si="12"/>
        <v>#N/A</v>
      </c>
      <c r="V121" s="7"/>
      <c r="W121" s="7"/>
      <c r="X121" s="7" t="e">
        <f t="shared" si="13"/>
        <v>#N/A</v>
      </c>
      <c r="Y121" s="1"/>
      <c r="Z121" s="1"/>
      <c r="AA121" s="1"/>
      <c r="AB121" s="1"/>
      <c r="AC121" s="1"/>
      <c r="AD121" s="1"/>
    </row>
    <row r="122" spans="2:30">
      <c r="B122" s="7">
        <v>105</v>
      </c>
      <c r="C122" s="7">
        <f t="shared" si="2"/>
        <v>10.24942476920269</v>
      </c>
      <c r="D122" s="7">
        <f t="shared" si="3"/>
        <v>6.8011848962382979</v>
      </c>
      <c r="E122" s="7"/>
      <c r="F122" s="7"/>
      <c r="G122" s="7" t="e">
        <f t="shared" si="4"/>
        <v>#N/A</v>
      </c>
      <c r="H122" s="7" t="e">
        <f t="shared" si="5"/>
        <v>#N/A</v>
      </c>
      <c r="I122" s="7"/>
      <c r="J122" s="7"/>
      <c r="K122" s="7" t="e">
        <f t="shared" si="6"/>
        <v>#N/A</v>
      </c>
      <c r="L122" s="7" t="e">
        <f t="shared" si="7"/>
        <v>#N/A</v>
      </c>
      <c r="M122" s="7" t="e">
        <f t="shared" si="8"/>
        <v>#N/A</v>
      </c>
      <c r="N122" s="7"/>
      <c r="O122" s="7"/>
      <c r="P122" s="7" t="e">
        <f t="shared" si="9"/>
        <v>#N/A</v>
      </c>
      <c r="Q122" s="7" t="e">
        <f t="shared" si="10"/>
        <v>#N/A</v>
      </c>
      <c r="R122" s="7"/>
      <c r="S122" s="7"/>
      <c r="T122" s="7" t="e">
        <f t="shared" si="11"/>
        <v>#N/A</v>
      </c>
      <c r="U122" s="7" t="e">
        <f t="shared" si="12"/>
        <v>#N/A</v>
      </c>
      <c r="V122" s="7"/>
      <c r="W122" s="7"/>
      <c r="X122" s="7" t="e">
        <f t="shared" si="13"/>
        <v>#N/A</v>
      </c>
      <c r="Y122" s="1"/>
      <c r="Z122" s="1"/>
      <c r="AA122" s="1"/>
      <c r="AB122" s="1"/>
      <c r="AC122" s="1"/>
      <c r="AD122" s="1"/>
    </row>
    <row r="123" spans="2:30">
      <c r="B123" s="7">
        <v>120</v>
      </c>
      <c r="C123" s="7">
        <f t="shared" si="2"/>
        <v>9.5500000000000007</v>
      </c>
      <c r="D123" s="7">
        <f t="shared" si="3"/>
        <v>6.5114736709748726</v>
      </c>
      <c r="E123" s="7"/>
      <c r="F123" s="7"/>
      <c r="G123" s="7" t="e">
        <f t="shared" si="4"/>
        <v>#N/A</v>
      </c>
      <c r="H123" s="7" t="e">
        <f t="shared" si="5"/>
        <v>#N/A</v>
      </c>
      <c r="I123" s="7"/>
      <c r="J123" s="7"/>
      <c r="K123" s="7" t="e">
        <f t="shared" si="6"/>
        <v>#N/A</v>
      </c>
      <c r="L123" s="7" t="e">
        <f t="shared" si="7"/>
        <v>#N/A</v>
      </c>
      <c r="M123" s="7" t="e">
        <f t="shared" si="8"/>
        <v>#N/A</v>
      </c>
      <c r="N123" s="7"/>
      <c r="O123" s="7"/>
      <c r="P123" s="7" t="e">
        <f t="shared" si="9"/>
        <v>#N/A</v>
      </c>
      <c r="Q123" s="7" t="e">
        <f t="shared" si="10"/>
        <v>#N/A</v>
      </c>
      <c r="R123" s="7"/>
      <c r="S123" s="7"/>
      <c r="T123" s="7" t="e">
        <f t="shared" si="11"/>
        <v>#N/A</v>
      </c>
      <c r="U123" s="7" t="e">
        <f t="shared" si="12"/>
        <v>#N/A</v>
      </c>
      <c r="V123" s="7"/>
      <c r="W123" s="7"/>
      <c r="X123" s="7" t="e">
        <f t="shared" si="13"/>
        <v>#N/A</v>
      </c>
      <c r="Y123" s="1"/>
      <c r="Z123" s="1"/>
      <c r="AA123" s="1"/>
      <c r="AB123" s="1"/>
      <c r="AC123" s="1"/>
      <c r="AD123" s="1"/>
    </row>
    <row r="124" spans="2:30">
      <c r="B124" s="7">
        <v>135</v>
      </c>
      <c r="C124" s="7">
        <f t="shared" si="2"/>
        <v>8.9493903345590127</v>
      </c>
      <c r="D124" s="7">
        <f t="shared" si="3"/>
        <v>6.0506096654409873</v>
      </c>
      <c r="E124" s="7"/>
      <c r="F124" s="7"/>
      <c r="G124" s="7" t="e">
        <f t="shared" si="4"/>
        <v>#N/A</v>
      </c>
      <c r="H124" s="7" t="e">
        <f t="shared" si="5"/>
        <v>#N/A</v>
      </c>
      <c r="I124" s="7"/>
      <c r="J124" s="7"/>
      <c r="K124" s="7" t="e">
        <f t="shared" si="6"/>
        <v>#N/A</v>
      </c>
      <c r="L124" s="7" t="e">
        <f t="shared" si="7"/>
        <v>#N/A</v>
      </c>
      <c r="M124" s="7" t="e">
        <f t="shared" si="8"/>
        <v>#N/A</v>
      </c>
      <c r="N124" s="7"/>
      <c r="O124" s="7"/>
      <c r="P124" s="7" t="e">
        <f t="shared" si="9"/>
        <v>#N/A</v>
      </c>
      <c r="Q124" s="7" t="e">
        <f t="shared" si="10"/>
        <v>#N/A</v>
      </c>
      <c r="R124" s="7"/>
      <c r="S124" s="7"/>
      <c r="T124" s="7" t="e">
        <f t="shared" si="11"/>
        <v>#N/A</v>
      </c>
      <c r="U124" s="7" t="e">
        <f t="shared" si="12"/>
        <v>#N/A</v>
      </c>
      <c r="V124" s="7"/>
      <c r="W124" s="7"/>
      <c r="X124" s="7" t="e">
        <f t="shared" si="13"/>
        <v>#N/A</v>
      </c>
      <c r="Y124" s="1"/>
      <c r="Z124" s="1"/>
      <c r="AA124" s="1"/>
      <c r="AB124" s="1"/>
      <c r="AC124" s="1"/>
      <c r="AD124" s="1"/>
    </row>
    <row r="125" spans="2:30">
      <c r="B125" s="7">
        <v>150</v>
      </c>
      <c r="C125" s="7">
        <f t="shared" si="2"/>
        <v>8.4885263290251274</v>
      </c>
      <c r="D125" s="7">
        <f t="shared" si="3"/>
        <v>5.4499999999999993</v>
      </c>
      <c r="E125" s="7"/>
      <c r="F125" s="7"/>
      <c r="G125" s="7" t="e">
        <f t="shared" si="4"/>
        <v>#N/A</v>
      </c>
      <c r="H125" s="7" t="e">
        <f t="shared" si="5"/>
        <v>#N/A</v>
      </c>
      <c r="I125" s="7"/>
      <c r="J125" s="7"/>
      <c r="K125" s="7" t="e">
        <f t="shared" si="6"/>
        <v>#N/A</v>
      </c>
      <c r="L125" s="7" t="e">
        <f t="shared" si="7"/>
        <v>#N/A</v>
      </c>
      <c r="M125" s="7" t="e">
        <f t="shared" si="8"/>
        <v>#N/A</v>
      </c>
      <c r="N125" s="7"/>
      <c r="O125" s="7"/>
      <c r="P125" s="7" t="e">
        <f t="shared" si="9"/>
        <v>#N/A</v>
      </c>
      <c r="Q125" s="7" t="e">
        <f t="shared" si="10"/>
        <v>#N/A</v>
      </c>
      <c r="R125" s="7"/>
      <c r="S125" s="7"/>
      <c r="T125" s="7" t="e">
        <f t="shared" si="11"/>
        <v>#N/A</v>
      </c>
      <c r="U125" s="7" t="e">
        <f t="shared" si="12"/>
        <v>#N/A</v>
      </c>
      <c r="V125" s="7"/>
      <c r="W125" s="7"/>
      <c r="X125" s="7" t="e">
        <f t="shared" si="13"/>
        <v>#N/A</v>
      </c>
      <c r="Y125" s="1"/>
      <c r="Z125" s="1"/>
      <c r="AA125" s="1"/>
      <c r="AB125" s="1"/>
      <c r="AC125" s="1"/>
      <c r="AD125" s="1"/>
    </row>
    <row r="126" spans="2:30">
      <c r="B126" s="7">
        <v>165</v>
      </c>
      <c r="C126" s="7">
        <f t="shared" si="2"/>
        <v>8.198815103761703</v>
      </c>
      <c r="D126" s="7">
        <f t="shared" si="3"/>
        <v>4.7505752307973106</v>
      </c>
      <c r="E126" s="7"/>
      <c r="F126" s="7"/>
      <c r="G126" s="7" t="e">
        <f t="shared" si="4"/>
        <v>#N/A</v>
      </c>
      <c r="H126" s="7" t="e">
        <f t="shared" si="5"/>
        <v>#N/A</v>
      </c>
      <c r="I126" s="7"/>
      <c r="J126" s="7"/>
      <c r="K126" s="7" t="e">
        <f t="shared" si="6"/>
        <v>#N/A</v>
      </c>
      <c r="L126" s="7" t="e">
        <f t="shared" si="7"/>
        <v>#N/A</v>
      </c>
      <c r="M126" s="7" t="e">
        <f t="shared" si="8"/>
        <v>#N/A</v>
      </c>
      <c r="N126" s="7"/>
      <c r="O126" s="7"/>
      <c r="P126" s="7" t="e">
        <f t="shared" si="9"/>
        <v>#N/A</v>
      </c>
      <c r="Q126" s="7" t="e">
        <f t="shared" si="10"/>
        <v>#N/A</v>
      </c>
      <c r="R126" s="7"/>
      <c r="S126" s="7"/>
      <c r="T126" s="7" t="e">
        <f t="shared" si="11"/>
        <v>#N/A</v>
      </c>
      <c r="U126" s="7" t="e">
        <f t="shared" si="12"/>
        <v>#N/A</v>
      </c>
      <c r="V126" s="7"/>
      <c r="W126" s="7"/>
      <c r="X126" s="7" t="e">
        <f t="shared" si="13"/>
        <v>#N/A</v>
      </c>
      <c r="Y126" s="1"/>
      <c r="Z126" s="1"/>
      <c r="AA126" s="1"/>
      <c r="AB126" s="1"/>
      <c r="AC126" s="1"/>
      <c r="AD126" s="1"/>
    </row>
    <row r="127" spans="2:30">
      <c r="B127" s="7">
        <v>180</v>
      </c>
      <c r="C127" s="7">
        <f t="shared" si="2"/>
        <v>8.1</v>
      </c>
      <c r="D127" s="7">
        <f t="shared" si="3"/>
        <v>4</v>
      </c>
      <c r="E127" s="7"/>
      <c r="F127" s="7"/>
      <c r="G127" s="7" t="e">
        <f t="shared" si="4"/>
        <v>#N/A</v>
      </c>
      <c r="H127" s="7" t="e">
        <f t="shared" si="5"/>
        <v>#N/A</v>
      </c>
      <c r="I127" s="7"/>
      <c r="J127" s="7"/>
      <c r="K127" s="7" t="e">
        <f t="shared" si="6"/>
        <v>#N/A</v>
      </c>
      <c r="L127" s="7" t="e">
        <f t="shared" si="7"/>
        <v>#N/A</v>
      </c>
      <c r="M127" s="7" t="e">
        <f t="shared" si="8"/>
        <v>#N/A</v>
      </c>
      <c r="N127" s="7"/>
      <c r="O127" s="7"/>
      <c r="P127" s="7" t="e">
        <f t="shared" si="9"/>
        <v>#N/A</v>
      </c>
      <c r="Q127" s="7" t="e">
        <f t="shared" si="10"/>
        <v>#N/A</v>
      </c>
      <c r="R127" s="7"/>
      <c r="S127" s="7"/>
      <c r="T127" s="7" t="e">
        <f t="shared" si="11"/>
        <v>#N/A</v>
      </c>
      <c r="U127" s="7" t="e">
        <f t="shared" si="12"/>
        <v>#N/A</v>
      </c>
      <c r="V127" s="7"/>
      <c r="W127" s="7"/>
      <c r="X127" s="7" t="e">
        <f t="shared" si="13"/>
        <v>#N/A</v>
      </c>
      <c r="Y127" s="1"/>
      <c r="Z127" s="1"/>
      <c r="AA127" s="1"/>
      <c r="AB127" s="1"/>
      <c r="AC127" s="1"/>
      <c r="AD127" s="1"/>
    </row>
    <row r="128" spans="2:30">
      <c r="B128" s="7">
        <v>195</v>
      </c>
      <c r="C128" s="7">
        <f t="shared" si="2"/>
        <v>8.1988151037617012</v>
      </c>
      <c r="D128" s="7">
        <f t="shared" si="3"/>
        <v>3.2494247692026912</v>
      </c>
      <c r="E128" s="7"/>
      <c r="F128" s="7"/>
      <c r="G128" s="7" t="e">
        <f t="shared" si="4"/>
        <v>#N/A</v>
      </c>
      <c r="H128" s="7" t="e">
        <f t="shared" si="5"/>
        <v>#N/A</v>
      </c>
      <c r="I128" s="7"/>
      <c r="J128" s="7"/>
      <c r="K128" s="7" t="e">
        <f t="shared" si="6"/>
        <v>#N/A</v>
      </c>
      <c r="L128" s="7" t="e">
        <f t="shared" si="7"/>
        <v>#N/A</v>
      </c>
      <c r="M128" s="7" t="e">
        <f t="shared" si="8"/>
        <v>#N/A</v>
      </c>
      <c r="N128" s="7"/>
      <c r="O128" s="7"/>
      <c r="P128" s="7" t="e">
        <f t="shared" si="9"/>
        <v>#N/A</v>
      </c>
      <c r="Q128" s="7" t="e">
        <f t="shared" si="10"/>
        <v>#N/A</v>
      </c>
      <c r="R128" s="7"/>
      <c r="S128" s="7"/>
      <c r="T128" s="7" t="e">
        <f t="shared" si="11"/>
        <v>#N/A</v>
      </c>
      <c r="U128" s="7" t="e">
        <f t="shared" si="12"/>
        <v>#N/A</v>
      </c>
      <c r="V128" s="7"/>
      <c r="W128" s="7"/>
      <c r="X128" s="7" t="e">
        <f t="shared" si="13"/>
        <v>#N/A</v>
      </c>
      <c r="Y128" s="1"/>
      <c r="Z128" s="1"/>
      <c r="AA128" s="1"/>
      <c r="AB128" s="1"/>
      <c r="AC128" s="1"/>
      <c r="AD128" s="1"/>
    </row>
    <row r="129" spans="2:30">
      <c r="B129" s="7">
        <v>210</v>
      </c>
      <c r="C129" s="7">
        <f t="shared" si="2"/>
        <v>8.4885263290251274</v>
      </c>
      <c r="D129" s="7">
        <f t="shared" si="3"/>
        <v>2.5499999999999998</v>
      </c>
      <c r="E129" s="7"/>
      <c r="F129" s="7"/>
      <c r="G129" s="7" t="e">
        <f t="shared" si="4"/>
        <v>#N/A</v>
      </c>
      <c r="H129" s="7" t="e">
        <f t="shared" si="5"/>
        <v>#N/A</v>
      </c>
      <c r="I129" s="7"/>
      <c r="J129" s="7"/>
      <c r="K129" s="7" t="e">
        <f t="shared" si="6"/>
        <v>#N/A</v>
      </c>
      <c r="L129" s="7" t="e">
        <f t="shared" si="7"/>
        <v>#N/A</v>
      </c>
      <c r="M129" s="7" t="e">
        <f t="shared" si="8"/>
        <v>#N/A</v>
      </c>
      <c r="N129" s="7"/>
      <c r="O129" s="7"/>
      <c r="P129" s="7" t="e">
        <f t="shared" si="9"/>
        <v>#N/A</v>
      </c>
      <c r="Q129" s="7" t="e">
        <f t="shared" si="10"/>
        <v>#N/A</v>
      </c>
      <c r="R129" s="7"/>
      <c r="S129" s="7"/>
      <c r="T129" s="7" t="e">
        <f t="shared" si="11"/>
        <v>#N/A</v>
      </c>
      <c r="U129" s="7" t="e">
        <f t="shared" si="12"/>
        <v>#N/A</v>
      </c>
      <c r="V129" s="7"/>
      <c r="W129" s="7"/>
      <c r="X129" s="7" t="e">
        <f t="shared" si="13"/>
        <v>#N/A</v>
      </c>
      <c r="Y129" s="1"/>
      <c r="Z129" s="1"/>
      <c r="AA129" s="1"/>
      <c r="AB129" s="1"/>
      <c r="AC129" s="1"/>
      <c r="AD129" s="1"/>
    </row>
    <row r="130" spans="2:30">
      <c r="B130" s="7">
        <v>225</v>
      </c>
      <c r="C130" s="7">
        <f t="shared" si="2"/>
        <v>8.9493903345590127</v>
      </c>
      <c r="D130" s="7">
        <f t="shared" si="3"/>
        <v>1.9493903345590122</v>
      </c>
      <c r="E130" s="7"/>
      <c r="F130" s="7"/>
      <c r="G130" s="7" t="e">
        <f t="shared" si="4"/>
        <v>#N/A</v>
      </c>
      <c r="H130" s="7" t="e">
        <f t="shared" si="5"/>
        <v>#N/A</v>
      </c>
      <c r="I130" s="7"/>
      <c r="J130" s="7"/>
      <c r="K130" s="7" t="e">
        <f t="shared" si="6"/>
        <v>#N/A</v>
      </c>
      <c r="L130" s="7" t="e">
        <f t="shared" si="7"/>
        <v>#N/A</v>
      </c>
      <c r="M130" s="7" t="e">
        <f t="shared" si="8"/>
        <v>#N/A</v>
      </c>
      <c r="N130" s="7"/>
      <c r="O130" s="7"/>
      <c r="P130" s="7" t="e">
        <f t="shared" si="9"/>
        <v>#N/A</v>
      </c>
      <c r="Q130" s="7" t="e">
        <f t="shared" si="10"/>
        <v>#N/A</v>
      </c>
      <c r="R130" s="7"/>
      <c r="S130" s="7"/>
      <c r="T130" s="7" t="e">
        <f t="shared" si="11"/>
        <v>#N/A</v>
      </c>
      <c r="U130" s="7" t="e">
        <f t="shared" si="12"/>
        <v>#N/A</v>
      </c>
      <c r="V130" s="7"/>
      <c r="W130" s="7"/>
      <c r="X130" s="7" t="e">
        <f t="shared" si="13"/>
        <v>#N/A</v>
      </c>
      <c r="Y130" s="1"/>
      <c r="Z130" s="1"/>
      <c r="AA130" s="1"/>
      <c r="AB130" s="1"/>
      <c r="AC130" s="1"/>
      <c r="AD130" s="1"/>
    </row>
    <row r="131" spans="2:30">
      <c r="B131" s="7">
        <v>240</v>
      </c>
      <c r="C131" s="7">
        <f t="shared" si="2"/>
        <v>9.5499999999999989</v>
      </c>
      <c r="D131" s="7">
        <f t="shared" si="3"/>
        <v>1.4885263290251287</v>
      </c>
      <c r="E131" s="7"/>
      <c r="F131" s="7"/>
      <c r="G131" s="7" t="e">
        <f t="shared" si="4"/>
        <v>#N/A</v>
      </c>
      <c r="H131" s="7" t="e">
        <f t="shared" si="5"/>
        <v>#N/A</v>
      </c>
      <c r="I131" s="7"/>
      <c r="J131" s="7"/>
      <c r="K131" s="7" t="e">
        <f t="shared" si="6"/>
        <v>#N/A</v>
      </c>
      <c r="L131" s="7" t="e">
        <f t="shared" si="7"/>
        <v>#N/A</v>
      </c>
      <c r="M131" s="7" t="e">
        <f t="shared" si="8"/>
        <v>#N/A</v>
      </c>
      <c r="N131" s="7"/>
      <c r="O131" s="7"/>
      <c r="P131" s="7" t="e">
        <f t="shared" si="9"/>
        <v>#N/A</v>
      </c>
      <c r="Q131" s="7" t="e">
        <f t="shared" si="10"/>
        <v>#N/A</v>
      </c>
      <c r="R131" s="7"/>
      <c r="S131" s="7"/>
      <c r="T131" s="7" t="e">
        <f t="shared" si="11"/>
        <v>#N/A</v>
      </c>
      <c r="U131" s="7" t="e">
        <f t="shared" si="12"/>
        <v>#N/A</v>
      </c>
      <c r="V131" s="7"/>
      <c r="W131" s="7"/>
      <c r="X131" s="7" t="e">
        <f t="shared" si="13"/>
        <v>#N/A</v>
      </c>
      <c r="Y131" s="1"/>
      <c r="Z131" s="1"/>
      <c r="AA131" s="1"/>
      <c r="AB131" s="1"/>
      <c r="AC131" s="1"/>
      <c r="AD131" s="1"/>
    </row>
    <row r="132" spans="2:30">
      <c r="B132" s="7">
        <v>255</v>
      </c>
      <c r="C132" s="7">
        <f t="shared" si="2"/>
        <v>10.24942476920269</v>
      </c>
      <c r="D132" s="7">
        <f t="shared" si="3"/>
        <v>1.1988151037617021</v>
      </c>
      <c r="E132" s="7"/>
      <c r="F132" s="7"/>
      <c r="G132" s="7" t="e">
        <f t="shared" si="4"/>
        <v>#N/A</v>
      </c>
      <c r="H132" s="7" t="e">
        <f t="shared" si="5"/>
        <v>#N/A</v>
      </c>
      <c r="I132" s="7"/>
      <c r="J132" s="7"/>
      <c r="K132" s="7" t="e">
        <f t="shared" si="6"/>
        <v>#N/A</v>
      </c>
      <c r="L132" s="7" t="e">
        <f t="shared" si="7"/>
        <v>#N/A</v>
      </c>
      <c r="M132" s="7" t="e">
        <f t="shared" si="8"/>
        <v>#N/A</v>
      </c>
      <c r="N132" s="7"/>
      <c r="O132" s="7"/>
      <c r="P132" s="7" t="e">
        <f t="shared" si="9"/>
        <v>#N/A</v>
      </c>
      <c r="Q132" s="7" t="e">
        <f t="shared" si="10"/>
        <v>#N/A</v>
      </c>
      <c r="R132" s="7"/>
      <c r="S132" s="7"/>
      <c r="T132" s="7" t="e">
        <f t="shared" si="11"/>
        <v>#N/A</v>
      </c>
      <c r="U132" s="7" t="e">
        <f t="shared" si="12"/>
        <v>#N/A</v>
      </c>
      <c r="V132" s="7"/>
      <c r="W132" s="7"/>
      <c r="X132" s="7" t="e">
        <f t="shared" si="13"/>
        <v>#N/A</v>
      </c>
      <c r="Y132" s="1"/>
      <c r="Z132" s="1"/>
      <c r="AA132" s="1"/>
      <c r="AB132" s="1"/>
      <c r="AC132" s="1"/>
      <c r="AD132" s="1"/>
    </row>
    <row r="133" spans="2:30">
      <c r="B133" s="7">
        <v>270</v>
      </c>
      <c r="C133" s="7">
        <f t="shared" si="2"/>
        <v>11</v>
      </c>
      <c r="D133" s="7">
        <f t="shared" si="3"/>
        <v>1.1000000000000001</v>
      </c>
      <c r="E133" s="7"/>
      <c r="F133" s="7"/>
      <c r="G133" s="7" t="e">
        <f t="shared" si="4"/>
        <v>#N/A</v>
      </c>
      <c r="H133" s="7" t="e">
        <f t="shared" si="5"/>
        <v>#N/A</v>
      </c>
      <c r="I133" s="7"/>
      <c r="J133" s="7"/>
      <c r="K133" s="7" t="e">
        <f t="shared" si="6"/>
        <v>#N/A</v>
      </c>
      <c r="L133" s="7" t="e">
        <f t="shared" si="7"/>
        <v>#N/A</v>
      </c>
      <c r="M133" s="7" t="e">
        <f t="shared" si="8"/>
        <v>#N/A</v>
      </c>
      <c r="N133" s="7"/>
      <c r="O133" s="7"/>
      <c r="P133" s="7" t="e">
        <f t="shared" si="9"/>
        <v>#N/A</v>
      </c>
      <c r="Q133" s="7" t="e">
        <f t="shared" si="10"/>
        <v>#N/A</v>
      </c>
      <c r="R133" s="7"/>
      <c r="S133" s="7"/>
      <c r="T133" s="7" t="e">
        <f t="shared" si="11"/>
        <v>#N/A</v>
      </c>
      <c r="U133" s="7" t="e">
        <f t="shared" si="12"/>
        <v>#N/A</v>
      </c>
      <c r="V133" s="7"/>
      <c r="W133" s="7"/>
      <c r="X133" s="7" t="e">
        <f t="shared" si="13"/>
        <v>#N/A</v>
      </c>
      <c r="Y133" s="1"/>
      <c r="Z133" s="1"/>
      <c r="AA133" s="1"/>
      <c r="AB133" s="1"/>
      <c r="AC133" s="1"/>
      <c r="AD133" s="1"/>
    </row>
    <row r="134" spans="2:30">
      <c r="B134" s="7">
        <v>285</v>
      </c>
      <c r="C134" s="7">
        <f t="shared" si="2"/>
        <v>11.750575230797311</v>
      </c>
      <c r="D134" s="7">
        <f t="shared" si="3"/>
        <v>1.1988151037617021</v>
      </c>
      <c r="E134" s="7"/>
      <c r="F134" s="7"/>
      <c r="G134" s="7" t="e">
        <f t="shared" si="4"/>
        <v>#N/A</v>
      </c>
      <c r="H134" s="7" t="e">
        <f t="shared" si="5"/>
        <v>#N/A</v>
      </c>
      <c r="I134" s="7"/>
      <c r="J134" s="7"/>
      <c r="K134" s="7" t="e">
        <f t="shared" si="6"/>
        <v>#N/A</v>
      </c>
      <c r="L134" s="7" t="e">
        <f t="shared" si="7"/>
        <v>#N/A</v>
      </c>
      <c r="M134" s="7" t="e">
        <f t="shared" si="8"/>
        <v>#N/A</v>
      </c>
      <c r="N134" s="7"/>
      <c r="O134" s="7"/>
      <c r="P134" s="7" t="e">
        <f t="shared" si="9"/>
        <v>#N/A</v>
      </c>
      <c r="Q134" s="7" t="e">
        <f t="shared" si="10"/>
        <v>#N/A</v>
      </c>
      <c r="R134" s="7"/>
      <c r="S134" s="7"/>
      <c r="T134" s="7" t="e">
        <f t="shared" si="11"/>
        <v>#N/A</v>
      </c>
      <c r="U134" s="7" t="e">
        <f t="shared" si="12"/>
        <v>#N/A</v>
      </c>
      <c r="V134" s="7"/>
      <c r="W134" s="7"/>
      <c r="X134" s="7" t="e">
        <f t="shared" si="13"/>
        <v>#N/A</v>
      </c>
      <c r="Y134" s="1"/>
      <c r="Z134" s="1"/>
      <c r="AA134" s="1"/>
      <c r="AB134" s="1"/>
      <c r="AC134" s="1"/>
      <c r="AD134" s="1"/>
    </row>
    <row r="135" spans="2:30">
      <c r="B135" s="7">
        <v>300</v>
      </c>
      <c r="C135" s="7">
        <f t="shared" si="2"/>
        <v>12.45</v>
      </c>
      <c r="D135" s="7">
        <f t="shared" si="3"/>
        <v>1.4885263290251283</v>
      </c>
      <c r="E135" s="7"/>
      <c r="F135" s="7"/>
      <c r="G135" s="7" t="e">
        <f t="shared" si="4"/>
        <v>#N/A</v>
      </c>
      <c r="H135" s="7" t="e">
        <f t="shared" si="5"/>
        <v>#N/A</v>
      </c>
      <c r="I135" s="7"/>
      <c r="J135" s="7"/>
      <c r="K135" s="7" t="e">
        <f t="shared" si="6"/>
        <v>#N/A</v>
      </c>
      <c r="L135" s="7" t="e">
        <f t="shared" si="7"/>
        <v>#N/A</v>
      </c>
      <c r="M135" s="7" t="e">
        <f t="shared" si="8"/>
        <v>#N/A</v>
      </c>
      <c r="N135" s="7"/>
      <c r="O135" s="7"/>
      <c r="P135" s="7" t="e">
        <f t="shared" si="9"/>
        <v>#N/A</v>
      </c>
      <c r="Q135" s="7" t="e">
        <f t="shared" si="10"/>
        <v>#N/A</v>
      </c>
      <c r="R135" s="7"/>
      <c r="S135" s="7"/>
      <c r="T135" s="7" t="e">
        <f t="shared" si="11"/>
        <v>#N/A</v>
      </c>
      <c r="U135" s="7" t="e">
        <f t="shared" si="12"/>
        <v>#N/A</v>
      </c>
      <c r="V135" s="7"/>
      <c r="W135" s="7"/>
      <c r="X135" s="7" t="e">
        <f t="shared" si="13"/>
        <v>#N/A</v>
      </c>
      <c r="Y135" s="1"/>
      <c r="Z135" s="1"/>
      <c r="AA135" s="1"/>
      <c r="AB135" s="1"/>
      <c r="AC135" s="1"/>
      <c r="AD135" s="1"/>
    </row>
    <row r="136" spans="2:30">
      <c r="B136" s="7">
        <v>315</v>
      </c>
      <c r="C136" s="7">
        <f t="shared" si="2"/>
        <v>13.050609665440987</v>
      </c>
      <c r="D136" s="7">
        <f t="shared" si="3"/>
        <v>1.9493903345590118</v>
      </c>
      <c r="E136" s="7"/>
      <c r="F136" s="7"/>
      <c r="G136" s="7" t="e">
        <f t="shared" si="4"/>
        <v>#N/A</v>
      </c>
      <c r="H136" s="7" t="e">
        <f t="shared" si="5"/>
        <v>#N/A</v>
      </c>
      <c r="I136" s="7"/>
      <c r="J136" s="7"/>
      <c r="K136" s="7" t="e">
        <f t="shared" si="6"/>
        <v>#N/A</v>
      </c>
      <c r="L136" s="7" t="e">
        <f t="shared" si="7"/>
        <v>#N/A</v>
      </c>
      <c r="M136" s="7" t="e">
        <f t="shared" si="8"/>
        <v>#N/A</v>
      </c>
      <c r="N136" s="7"/>
      <c r="O136" s="7"/>
      <c r="P136" s="7" t="e">
        <f t="shared" si="9"/>
        <v>#N/A</v>
      </c>
      <c r="Q136" s="7" t="e">
        <f t="shared" si="10"/>
        <v>#N/A</v>
      </c>
      <c r="R136" s="7"/>
      <c r="S136" s="7"/>
      <c r="T136" s="7" t="e">
        <f t="shared" si="11"/>
        <v>#N/A</v>
      </c>
      <c r="U136" s="7" t="e">
        <f t="shared" si="12"/>
        <v>#N/A</v>
      </c>
      <c r="V136" s="7"/>
      <c r="W136" s="7"/>
      <c r="X136" s="7" t="e">
        <f t="shared" si="13"/>
        <v>#N/A</v>
      </c>
      <c r="Y136" s="1"/>
      <c r="Z136" s="1"/>
      <c r="AA136" s="1"/>
      <c r="AB136" s="1"/>
      <c r="AC136" s="1"/>
      <c r="AD136" s="1"/>
    </row>
    <row r="137" spans="2:30">
      <c r="B137" s="7">
        <v>330</v>
      </c>
      <c r="C137" s="7">
        <f t="shared" si="2"/>
        <v>13.511473670974871</v>
      </c>
      <c r="D137" s="7">
        <f t="shared" si="3"/>
        <v>2.5499999999999989</v>
      </c>
      <c r="E137" s="7"/>
      <c r="F137" s="7"/>
      <c r="G137" s="7" t="e">
        <f t="shared" si="4"/>
        <v>#N/A</v>
      </c>
      <c r="H137" s="7" t="e">
        <f t="shared" si="5"/>
        <v>#N/A</v>
      </c>
      <c r="I137" s="7"/>
      <c r="J137" s="7"/>
      <c r="K137" s="7" t="e">
        <f t="shared" si="6"/>
        <v>#N/A</v>
      </c>
      <c r="L137" s="7" t="e">
        <f t="shared" si="7"/>
        <v>#N/A</v>
      </c>
      <c r="M137" s="7" t="e">
        <f t="shared" si="8"/>
        <v>#N/A</v>
      </c>
      <c r="N137" s="7"/>
      <c r="O137" s="7"/>
      <c r="P137" s="7" t="e">
        <f t="shared" si="9"/>
        <v>#N/A</v>
      </c>
      <c r="Q137" s="7" t="e">
        <f t="shared" si="10"/>
        <v>#N/A</v>
      </c>
      <c r="R137" s="7"/>
      <c r="S137" s="7"/>
      <c r="T137" s="7" t="e">
        <f t="shared" si="11"/>
        <v>#N/A</v>
      </c>
      <c r="U137" s="7" t="e">
        <f t="shared" si="12"/>
        <v>#N/A</v>
      </c>
      <c r="V137" s="7"/>
      <c r="W137" s="7"/>
      <c r="X137" s="7" t="e">
        <f t="shared" si="13"/>
        <v>#N/A</v>
      </c>
      <c r="Y137" s="1"/>
      <c r="Z137" s="1"/>
      <c r="AA137" s="1"/>
      <c r="AB137" s="1"/>
      <c r="AC137" s="1"/>
      <c r="AD137" s="1"/>
    </row>
    <row r="138" spans="2:30">
      <c r="B138" s="7">
        <v>345</v>
      </c>
      <c r="C138" s="7">
        <f t="shared" si="2"/>
        <v>13.801184896238297</v>
      </c>
      <c r="D138" s="7">
        <f t="shared" si="3"/>
        <v>3.2494247692026903</v>
      </c>
      <c r="E138" s="7"/>
      <c r="F138" s="7"/>
      <c r="G138" s="7" t="e">
        <f t="shared" si="4"/>
        <v>#N/A</v>
      </c>
      <c r="H138" s="7" t="e">
        <f t="shared" si="5"/>
        <v>#N/A</v>
      </c>
      <c r="I138" s="7"/>
      <c r="J138" s="7"/>
      <c r="K138" s="7" t="e">
        <f t="shared" si="6"/>
        <v>#N/A</v>
      </c>
      <c r="L138" s="7" t="e">
        <f t="shared" si="7"/>
        <v>#N/A</v>
      </c>
      <c r="M138" s="7" t="e">
        <f t="shared" si="8"/>
        <v>#N/A</v>
      </c>
      <c r="N138" s="7"/>
      <c r="O138" s="7"/>
      <c r="P138" s="7" t="e">
        <f t="shared" si="9"/>
        <v>#N/A</v>
      </c>
      <c r="Q138" s="7" t="e">
        <f t="shared" si="10"/>
        <v>#N/A</v>
      </c>
      <c r="R138" s="7"/>
      <c r="S138" s="7"/>
      <c r="T138" s="7" t="e">
        <f t="shared" si="11"/>
        <v>#N/A</v>
      </c>
      <c r="U138" s="7" t="e">
        <f t="shared" si="12"/>
        <v>#N/A</v>
      </c>
      <c r="V138" s="7"/>
      <c r="W138" s="7"/>
      <c r="X138" s="7" t="e">
        <f t="shared" si="13"/>
        <v>#N/A</v>
      </c>
      <c r="Y138" s="1"/>
      <c r="Z138" s="1"/>
      <c r="AA138" s="1"/>
      <c r="AB138" s="1"/>
      <c r="AC138" s="1"/>
      <c r="AD138" s="1"/>
    </row>
    <row r="139" spans="2:30">
      <c r="B139" s="7">
        <v>360</v>
      </c>
      <c r="C139" s="7">
        <f t="shared" si="2"/>
        <v>13.9</v>
      </c>
      <c r="D139" s="7">
        <f t="shared" si="3"/>
        <v>3.9999999999999991</v>
      </c>
      <c r="E139" s="7"/>
      <c r="F139" s="7"/>
      <c r="G139" s="7" t="e">
        <f t="shared" si="4"/>
        <v>#N/A</v>
      </c>
      <c r="H139" s="7" t="e">
        <f t="shared" si="5"/>
        <v>#N/A</v>
      </c>
      <c r="I139" s="7"/>
      <c r="J139" s="7"/>
      <c r="K139" s="7" t="e">
        <f t="shared" si="6"/>
        <v>#N/A</v>
      </c>
      <c r="L139" s="7" t="e">
        <f t="shared" si="7"/>
        <v>#N/A</v>
      </c>
      <c r="M139" s="7" t="e">
        <f t="shared" si="8"/>
        <v>#N/A</v>
      </c>
      <c r="N139" s="7"/>
      <c r="O139" s="7"/>
      <c r="P139" s="7" t="e">
        <f t="shared" si="9"/>
        <v>#N/A</v>
      </c>
      <c r="Q139" s="7" t="e">
        <f t="shared" si="10"/>
        <v>#N/A</v>
      </c>
      <c r="R139" s="7"/>
      <c r="S139" s="7"/>
      <c r="T139" s="7" t="e">
        <f t="shared" si="11"/>
        <v>#N/A</v>
      </c>
      <c r="U139" s="7" t="e">
        <f t="shared" si="12"/>
        <v>#N/A</v>
      </c>
      <c r="V139" s="7"/>
      <c r="W139" s="7"/>
      <c r="X139" s="7" t="e">
        <f t="shared" si="13"/>
        <v>#N/A</v>
      </c>
      <c r="Y139" s="1"/>
      <c r="Z139" s="1"/>
      <c r="AA139" s="1"/>
      <c r="AB139" s="1"/>
      <c r="AC139" s="1"/>
      <c r="AD139" s="1"/>
    </row>
    <row r="140" spans="2:30">
      <c r="B140" s="1"/>
      <c r="C140" t="str">
        <f>SUBSTITUTE(VLOOKUP(Main!$A$23,hare!AB2:AC50,2),"N/A","")</f>
        <v>Grenade</v>
      </c>
      <c r="D140" t="s">
        <v>76</v>
      </c>
      <c r="G140" s="1">
        <f>VLOOKUP(hare!$C$140,Sheet1!$B:$I,8,0)</f>
        <v>1</v>
      </c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</row>
    <row r="141" spans="2:30">
      <c r="B141" s="1"/>
      <c r="C141" s="22" t="s">
        <v>36</v>
      </c>
      <c r="D141" s="22" t="s">
        <v>37</v>
      </c>
      <c r="G141" s="22" t="s">
        <v>36</v>
      </c>
      <c r="H141" s="22" t="s">
        <v>37</v>
      </c>
      <c r="K141" s="22" t="s">
        <v>36</v>
      </c>
      <c r="L141" s="22" t="s">
        <v>37</v>
      </c>
      <c r="M141" s="22" t="s">
        <v>36</v>
      </c>
      <c r="P141" s="22" t="s">
        <v>37</v>
      </c>
      <c r="Q141" s="22" t="s">
        <v>36</v>
      </c>
      <c r="T141" s="22" t="s">
        <v>37</v>
      </c>
      <c r="U141" s="22" t="s">
        <v>36</v>
      </c>
      <c r="X141" s="22" t="s">
        <v>37</v>
      </c>
      <c r="Y141" s="1"/>
      <c r="Z141" s="1"/>
      <c r="AA141" s="1"/>
      <c r="AB141" s="1"/>
      <c r="AC141" s="1"/>
      <c r="AD141" s="1"/>
    </row>
    <row r="142" spans="2:30">
      <c r="C142" s="1">
        <f>C112</f>
        <v>11</v>
      </c>
      <c r="D142" s="1">
        <f>D112</f>
        <v>4</v>
      </c>
      <c r="E142" s="1"/>
      <c r="F142" s="1"/>
      <c r="G142" s="1" t="e">
        <f t="shared" ref="G142:X142" si="14">G112</f>
        <v>#N/A</v>
      </c>
      <c r="H142" s="1" t="e">
        <f t="shared" si="14"/>
        <v>#N/A</v>
      </c>
      <c r="I142" s="1"/>
      <c r="J142" s="1"/>
      <c r="K142" s="1" t="e">
        <f t="shared" si="14"/>
        <v>#N/A</v>
      </c>
      <c r="L142" s="1" t="e">
        <f t="shared" si="14"/>
        <v>#N/A</v>
      </c>
      <c r="M142" s="1" t="e">
        <f t="shared" si="14"/>
        <v>#N/A</v>
      </c>
      <c r="N142" s="1"/>
      <c r="O142" s="1"/>
      <c r="P142" s="1" t="e">
        <f t="shared" si="14"/>
        <v>#N/A</v>
      </c>
      <c r="Q142" s="1" t="e">
        <f t="shared" si="14"/>
        <v>#N/A</v>
      </c>
      <c r="R142" s="1"/>
      <c r="S142" s="1"/>
      <c r="T142" s="1" t="e">
        <f t="shared" si="14"/>
        <v>#N/A</v>
      </c>
      <c r="U142" s="1" t="e">
        <f t="shared" si="14"/>
        <v>#N/A</v>
      </c>
      <c r="V142" s="1"/>
      <c r="W142" s="1"/>
      <c r="X142" s="1" t="e">
        <f t="shared" si="14"/>
        <v>#N/A</v>
      </c>
      <c r="Y142" s="1"/>
      <c r="Z142" s="1"/>
      <c r="AA142" s="1"/>
      <c r="AB142" s="1"/>
      <c r="AC142" s="1"/>
      <c r="AD142" s="1"/>
    </row>
    <row r="143" spans="2:30">
      <c r="B143" s="1"/>
      <c r="C143" t="str">
        <f>IF(CHOOSE(Main!$D$1,hare!#REF!,hare!#REF!,hare!AB87,hare!AD87,hare!AF87)=0,"",CHOOSE(Main!$D$1,hare!#REF!,hare!#REF!,hare!AB87,hare!AD87,hare!AF87))</f>
        <v/>
      </c>
      <c r="D143" s="7" t="s">
        <v>30</v>
      </c>
      <c r="E143" s="7"/>
      <c r="F143" s="7"/>
      <c r="G143" s="1"/>
      <c r="H143" s="1" t="s">
        <v>31</v>
      </c>
      <c r="I143" s="1"/>
      <c r="J143" s="1"/>
      <c r="K143" s="1"/>
      <c r="L143" s="1" t="s">
        <v>32</v>
      </c>
      <c r="M143" s="1"/>
      <c r="N143" s="1"/>
      <c r="O143" s="1"/>
      <c r="P143" s="1" t="s">
        <v>33</v>
      </c>
      <c r="Q143" s="1"/>
      <c r="R143" s="1"/>
      <c r="S143" s="1"/>
      <c r="T143" s="1" t="s">
        <v>34</v>
      </c>
      <c r="U143" s="1"/>
      <c r="V143" s="1"/>
      <c r="W143" s="1"/>
      <c r="X143" s="1" t="s">
        <v>35</v>
      </c>
      <c r="Y143" s="1"/>
      <c r="Z143" s="1"/>
      <c r="AA143" s="1"/>
      <c r="AB143" s="1"/>
      <c r="AC143" s="1"/>
      <c r="AD143" s="1"/>
    </row>
    <row r="144" spans="2:30">
      <c r="B144" s="1"/>
      <c r="C144" s="1">
        <f>VLOOKUP(hare!$C$140,Sheet1!$B:$I,6,0)</f>
        <v>2.5</v>
      </c>
      <c r="D144" s="1">
        <f>VLOOKUP(hare!$C$140,Sheet1!$B:$I,7,0)</f>
        <v>0</v>
      </c>
      <c r="E144" s="1"/>
      <c r="F144" s="1"/>
      <c r="G144" s="1" t="e">
        <f>VLOOKUP(hare!$C$140&amp;"-2",Sheet1!$B:$I,6,0)</f>
        <v>#N/A</v>
      </c>
      <c r="H144" s="1" t="e">
        <f>VLOOKUP(hare!$C$140&amp;"-2",Sheet1!$B:$I,7,0)</f>
        <v>#N/A</v>
      </c>
      <c r="I144" s="1"/>
      <c r="J144" s="1"/>
      <c r="K144" s="1" t="e">
        <f>VLOOKUP(hare!$C$140&amp;"-3",Sheet1!$B:$I,6,0)</f>
        <v>#N/A</v>
      </c>
      <c r="L144" s="1" t="e">
        <f>VLOOKUP(hare!$C$140&amp;"-3",Sheet1!$B:$I,7,0)</f>
        <v>#N/A</v>
      </c>
      <c r="M144" s="1" t="e">
        <f>VLOOKUP(hare!$C$140&amp;"-4",Sheet1!$B:$I,6,0)</f>
        <v>#N/A</v>
      </c>
      <c r="N144" s="1"/>
      <c r="O144" s="1"/>
      <c r="P144" s="1" t="e">
        <f>VLOOKUP(hare!$C$140&amp;"-4",Sheet1!$B:$I,7,0)</f>
        <v>#N/A</v>
      </c>
      <c r="Q144" s="1" t="e">
        <f>VLOOKUP(hare!$C$140&amp;"-5",Sheet1!$B:$I,6,0)</f>
        <v>#N/A</v>
      </c>
      <c r="R144" s="1"/>
      <c r="S144" s="1"/>
      <c r="T144" s="1" t="e">
        <f>VLOOKUP(hare!$C$140&amp;"-5",Sheet1!$B:$I,7,0)</f>
        <v>#N/A</v>
      </c>
      <c r="U144" s="1" t="e">
        <f>VLOOKUP(hare!$C$140&amp;"-6",Sheet1!$B:$I,6,0)</f>
        <v>#N/A</v>
      </c>
      <c r="V144" s="1"/>
      <c r="W144" s="1"/>
      <c r="X144" s="1" t="e">
        <f>VLOOKUP(hare!$C$140&amp;"-6",Sheet1!$B:$I,7,0)</f>
        <v>#N/A</v>
      </c>
      <c r="Y144" s="1"/>
      <c r="Z144" s="1"/>
      <c r="AA144" s="1"/>
      <c r="AB144" s="1"/>
      <c r="AC144" s="1"/>
      <c r="AD144" s="1"/>
    </row>
    <row r="145" spans="2:30">
      <c r="B145" s="1"/>
      <c r="C145" t="e">
        <f t="shared" ref="C145:X145" si="15">IF($G$140=1,NA(),C142+C144/2)</f>
        <v>#N/A</v>
      </c>
      <c r="D145" s="22" t="e">
        <f t="shared" si="15"/>
        <v>#N/A</v>
      </c>
      <c r="G145" s="22" t="e">
        <f t="shared" si="15"/>
        <v>#N/A</v>
      </c>
      <c r="H145" s="22" t="e">
        <f t="shared" si="15"/>
        <v>#N/A</v>
      </c>
      <c r="K145" s="22" t="e">
        <f t="shared" si="15"/>
        <v>#N/A</v>
      </c>
      <c r="L145" s="22" t="e">
        <f t="shared" si="15"/>
        <v>#N/A</v>
      </c>
      <c r="M145" s="22" t="e">
        <f t="shared" si="15"/>
        <v>#N/A</v>
      </c>
      <c r="P145" s="22" t="e">
        <f t="shared" si="15"/>
        <v>#N/A</v>
      </c>
      <c r="Q145" s="22" t="e">
        <f t="shared" si="15"/>
        <v>#N/A</v>
      </c>
      <c r="T145" s="22" t="e">
        <f t="shared" si="15"/>
        <v>#N/A</v>
      </c>
      <c r="U145" s="22" t="e">
        <f t="shared" si="15"/>
        <v>#N/A</v>
      </c>
      <c r="X145" s="22" t="e">
        <f t="shared" si="15"/>
        <v>#N/A</v>
      </c>
      <c r="Y145" s="1"/>
      <c r="Z145" s="1"/>
      <c r="AA145" s="1"/>
      <c r="AB145" s="1"/>
      <c r="AC145" s="1"/>
      <c r="AD145" s="1"/>
    </row>
    <row r="146" spans="2:30">
      <c r="B146" s="1"/>
      <c r="C146" s="22" t="e">
        <f>IF($G$140=1,NA(),C142-C144/2)</f>
        <v>#N/A</v>
      </c>
      <c r="D146" s="22" t="e">
        <f>IF($G$140=1,NA(),D142+D144/2)</f>
        <v>#N/A</v>
      </c>
      <c r="G146" s="22" t="e">
        <f>IF($G$140=1,NA(),G142-G144/2)</f>
        <v>#N/A</v>
      </c>
      <c r="H146" s="22" t="e">
        <f>IF($G$140=1,NA(),H142+H144/2)</f>
        <v>#N/A</v>
      </c>
      <c r="K146" s="22" t="e">
        <f>IF($G$140=1,NA(),K142-K144/2)</f>
        <v>#N/A</v>
      </c>
      <c r="L146" s="22" t="e">
        <f>IF($G$140=1,NA(),L142+L144/2)</f>
        <v>#N/A</v>
      </c>
      <c r="M146" s="22" t="e">
        <f>IF($G$140=1,NA(),M142-M144/2)</f>
        <v>#N/A</v>
      </c>
      <c r="P146" s="22" t="e">
        <f>IF($G$140=1,NA(),P142+P144/2)</f>
        <v>#N/A</v>
      </c>
      <c r="Q146" s="22" t="e">
        <f>IF($G$140=1,NA(),Q142-Q144/2)</f>
        <v>#N/A</v>
      </c>
      <c r="T146" s="22" t="e">
        <f>IF($G$140=1,NA(),T142+T144/2)</f>
        <v>#N/A</v>
      </c>
      <c r="U146" s="22" t="e">
        <f>IF($G$140=1,NA(),U142-U144/2)</f>
        <v>#N/A</v>
      </c>
      <c r="X146" s="22" t="e">
        <f>IF($G$140=1,NA(),X142+X144/2)</f>
        <v>#N/A</v>
      </c>
      <c r="Y146" s="1"/>
      <c r="Z146" s="1"/>
      <c r="AA146" s="1"/>
      <c r="AB146" s="1"/>
      <c r="AC146" s="1"/>
      <c r="AD146" s="1"/>
    </row>
    <row r="147" spans="2:30">
      <c r="B147" s="1"/>
      <c r="C147" s="22" t="e">
        <f t="shared" ref="C147:X147" si="16">IF($G$140=1,NA(),C142-C144/2)</f>
        <v>#N/A</v>
      </c>
      <c r="D147" s="22" t="e">
        <f t="shared" si="16"/>
        <v>#N/A</v>
      </c>
      <c r="G147" s="22" t="e">
        <f t="shared" si="16"/>
        <v>#N/A</v>
      </c>
      <c r="H147" s="22" t="e">
        <f t="shared" si="16"/>
        <v>#N/A</v>
      </c>
      <c r="K147" s="22" t="e">
        <f t="shared" si="16"/>
        <v>#N/A</v>
      </c>
      <c r="L147" s="22" t="e">
        <f t="shared" si="16"/>
        <v>#N/A</v>
      </c>
      <c r="M147" s="22" t="e">
        <f t="shared" si="16"/>
        <v>#N/A</v>
      </c>
      <c r="P147" s="22" t="e">
        <f t="shared" si="16"/>
        <v>#N/A</v>
      </c>
      <c r="Q147" s="22" t="e">
        <f t="shared" si="16"/>
        <v>#N/A</v>
      </c>
      <c r="T147" s="22" t="e">
        <f t="shared" si="16"/>
        <v>#N/A</v>
      </c>
      <c r="U147" s="22" t="e">
        <f t="shared" si="16"/>
        <v>#N/A</v>
      </c>
      <c r="X147" s="22" t="e">
        <f t="shared" si="16"/>
        <v>#N/A</v>
      </c>
      <c r="Y147" s="1"/>
      <c r="Z147" s="1"/>
      <c r="AA147" s="1"/>
      <c r="AB147" s="1"/>
      <c r="AC147" s="1"/>
      <c r="AD147" s="1"/>
    </row>
    <row r="148" spans="2:30">
      <c r="B148" s="1"/>
      <c r="C148" s="22" t="e">
        <f>IF($G$140=1,NA(),C142+C144/2)</f>
        <v>#N/A</v>
      </c>
      <c r="D148" s="22" t="e">
        <f>IF($G$140=1,NA(),D142-D144/2)</f>
        <v>#N/A</v>
      </c>
      <c r="G148" s="22" t="e">
        <f>IF($G$140=1,NA(),G142+G144/2)</f>
        <v>#N/A</v>
      </c>
      <c r="H148" s="22" t="e">
        <f>IF($G$140=1,NA(),H142-H144/2)</f>
        <v>#N/A</v>
      </c>
      <c r="K148" s="22" t="e">
        <f>IF($G$140=1,NA(),K142+K144/2)</f>
        <v>#N/A</v>
      </c>
      <c r="L148" s="22" t="e">
        <f>IF($G$140=1,NA(),L142-L144/2)</f>
        <v>#N/A</v>
      </c>
      <c r="M148" s="22" t="e">
        <f>IF($G$140=1,NA(),M142+M144/2)</f>
        <v>#N/A</v>
      </c>
      <c r="P148" s="22" t="e">
        <f>IF($G$140=1,NA(),P142-P144/2)</f>
        <v>#N/A</v>
      </c>
      <c r="Q148" s="22" t="e">
        <f>IF($G$140=1,NA(),Q142+Q144/2)</f>
        <v>#N/A</v>
      </c>
      <c r="T148" s="22" t="e">
        <f>IF($G$140=1,NA(),T142-T144/2)</f>
        <v>#N/A</v>
      </c>
      <c r="U148" s="22" t="e">
        <f>IF($G$140=1,NA(),U142+U144/2)</f>
        <v>#N/A</v>
      </c>
      <c r="X148" s="22" t="e">
        <f>IF($G$140=1,NA(),X142-X144/2)</f>
        <v>#N/A</v>
      </c>
      <c r="Y148" s="1"/>
      <c r="Z148" s="1"/>
      <c r="AA148" s="1"/>
      <c r="AB148" s="1"/>
      <c r="AC148" s="1"/>
      <c r="AD148" s="1"/>
    </row>
    <row r="149" spans="2:30">
      <c r="B149" s="1"/>
      <c r="C149" s="22" t="e">
        <f t="shared" ref="C149:X149" si="17">IF($G$140=1,NA(),C142+C144/2)</f>
        <v>#N/A</v>
      </c>
      <c r="D149" s="22" t="e">
        <f t="shared" si="17"/>
        <v>#N/A</v>
      </c>
      <c r="G149" s="22" t="e">
        <f t="shared" si="17"/>
        <v>#N/A</v>
      </c>
      <c r="H149" s="22" t="e">
        <f t="shared" si="17"/>
        <v>#N/A</v>
      </c>
      <c r="K149" s="22" t="e">
        <f t="shared" si="17"/>
        <v>#N/A</v>
      </c>
      <c r="L149" s="22" t="e">
        <f t="shared" si="17"/>
        <v>#N/A</v>
      </c>
      <c r="M149" s="22" t="e">
        <f t="shared" si="17"/>
        <v>#N/A</v>
      </c>
      <c r="P149" s="22" t="e">
        <f t="shared" si="17"/>
        <v>#N/A</v>
      </c>
      <c r="Q149" s="22" t="e">
        <f t="shared" si="17"/>
        <v>#N/A</v>
      </c>
      <c r="T149" s="22" t="e">
        <f t="shared" si="17"/>
        <v>#N/A</v>
      </c>
      <c r="U149" s="22" t="e">
        <f t="shared" si="17"/>
        <v>#N/A</v>
      </c>
      <c r="X149" s="22" t="e">
        <f t="shared" si="17"/>
        <v>#N/A</v>
      </c>
      <c r="Y149" s="1"/>
      <c r="Z149" s="1"/>
      <c r="AA149" s="1"/>
      <c r="AB149" s="1"/>
      <c r="AC149" s="1"/>
      <c r="AD149" s="1"/>
    </row>
    <row r="150" spans="2:30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</row>
    <row r="151" spans="2:30">
      <c r="B151" s="1"/>
      <c r="C151" s="1" t="s">
        <v>74</v>
      </c>
      <c r="D151" s="1" t="s">
        <v>75</v>
      </c>
      <c r="E151" s="1"/>
      <c r="F151" s="1"/>
      <c r="G151" s="1" t="s">
        <v>74</v>
      </c>
      <c r="H151" s="1" t="s">
        <v>75</v>
      </c>
      <c r="I151" s="1"/>
      <c r="J151" s="1"/>
      <c r="K151" s="1" t="s">
        <v>74</v>
      </c>
      <c r="L151" s="1" t="s">
        <v>75</v>
      </c>
      <c r="M151" s="1" t="s">
        <v>74</v>
      </c>
      <c r="N151" s="1"/>
      <c r="O151" s="1"/>
      <c r="P151" s="1" t="s">
        <v>75</v>
      </c>
      <c r="Q151" s="1" t="s">
        <v>74</v>
      </c>
      <c r="R151" s="1"/>
      <c r="S151" s="1"/>
      <c r="T151" s="1" t="s">
        <v>75</v>
      </c>
      <c r="U151" s="1" t="s">
        <v>74</v>
      </c>
      <c r="V151" s="1"/>
      <c r="W151" s="1"/>
      <c r="X151" s="1" t="s">
        <v>75</v>
      </c>
      <c r="Y151" s="1"/>
      <c r="Z151" s="1"/>
      <c r="AA151" s="1"/>
      <c r="AB151" s="1"/>
      <c r="AC151" s="1"/>
      <c r="AD151" s="1"/>
    </row>
    <row r="152" spans="2:30">
      <c r="B152" s="1"/>
      <c r="C152" s="1" t="e">
        <f>VLOOKUP(hare!$C$140&amp;"-7",Sheet1!$B:$I,3,0)</f>
        <v>#N/A</v>
      </c>
      <c r="D152" s="1" t="e">
        <f>VLOOKUP(hare!$C$140&amp;"-7",Sheet1!$B:$I,4,0)</f>
        <v>#N/A</v>
      </c>
      <c r="E152" s="1"/>
      <c r="F152" s="1"/>
      <c r="G152" s="1" t="e">
        <f>VLOOKUP(hare!$C$140&amp;"-8",Sheet1!$B:$I,3,0)</f>
        <v>#N/A</v>
      </c>
      <c r="H152" s="1" t="e">
        <f>VLOOKUP(hare!$C$140&amp;"-8",Sheet1!$B:$I,4,0)</f>
        <v>#N/A</v>
      </c>
      <c r="I152" s="1"/>
      <c r="J152" s="1"/>
      <c r="K152" s="1" t="e">
        <f>VLOOKUP(hare!$C$140&amp;"-9",Sheet1!$B:$I,3,0)</f>
        <v>#N/A</v>
      </c>
      <c r="L152" s="1" t="e">
        <f>VLOOKUP(hare!$C$140&amp;"-9",Sheet1!$B:$I,4,0)</f>
        <v>#N/A</v>
      </c>
      <c r="M152" s="1" t="e">
        <f>VLOOKUP(hare!$C$140&amp;"-10",Sheet1!$B:$I,3,0)</f>
        <v>#N/A</v>
      </c>
      <c r="N152" s="1"/>
      <c r="O152" s="1"/>
      <c r="P152" s="1" t="e">
        <f>VLOOKUP(hare!$C$140&amp;"-10",Sheet1!$B:$I,4,0)</f>
        <v>#N/A</v>
      </c>
      <c r="Q152" s="1" t="e">
        <f>VLOOKUP(hare!$C$140&amp;"-11",Sheet1!$B:$I,3,0)</f>
        <v>#N/A</v>
      </c>
      <c r="R152" s="1"/>
      <c r="S152" s="1"/>
      <c r="T152" s="1" t="e">
        <f>VLOOKUP(hare!$C$140&amp;"-11",Sheet1!$B:$I,4,0)</f>
        <v>#N/A</v>
      </c>
      <c r="U152" s="1" t="e">
        <f>VLOOKUP(hare!$C$140&amp;"-12",Sheet1!$B:$I,3,0)</f>
        <v>#N/A</v>
      </c>
      <c r="V152" s="1"/>
      <c r="W152" s="1"/>
      <c r="X152" s="1" t="e">
        <f>VLOOKUP(hare!$C$140&amp;"-12",Sheet1!$B:$I,4,0)</f>
        <v>#N/A</v>
      </c>
      <c r="Y152" s="1"/>
      <c r="Z152" s="1"/>
      <c r="AA152" s="1"/>
      <c r="AB152" s="1"/>
      <c r="AC152" s="1"/>
      <c r="AD152" s="1"/>
    </row>
    <row r="153" spans="2:30">
      <c r="B153" s="1"/>
      <c r="D153" s="7" t="s">
        <v>77</v>
      </c>
      <c r="E153" s="7"/>
      <c r="F153" s="7"/>
      <c r="G153" s="1"/>
      <c r="H153" s="1" t="s">
        <v>82</v>
      </c>
      <c r="I153" s="1"/>
      <c r="J153" s="1"/>
      <c r="L153" s="7" t="s">
        <v>78</v>
      </c>
      <c r="M153" s="1"/>
      <c r="N153" s="1"/>
      <c r="O153" s="1"/>
      <c r="P153" s="1" t="s">
        <v>79</v>
      </c>
      <c r="T153" s="7" t="s">
        <v>80</v>
      </c>
      <c r="X153" s="1" t="s">
        <v>81</v>
      </c>
      <c r="Y153" s="1"/>
      <c r="Z153" s="1"/>
      <c r="AA153" s="1"/>
      <c r="AB153" s="1"/>
      <c r="AC153" s="1"/>
      <c r="AD153" s="1"/>
    </row>
    <row r="154" spans="2:30">
      <c r="B154" s="1"/>
      <c r="C154" s="1" t="e">
        <f>VLOOKUP(hare!$C$140&amp;"-7",Sheet1!$B:$I,6,0)</f>
        <v>#N/A</v>
      </c>
      <c r="D154" s="1" t="e">
        <f>VLOOKUP(hare!$C$140&amp;"-7",Sheet1!$B:$I,7,0)</f>
        <v>#N/A</v>
      </c>
      <c r="E154" s="1"/>
      <c r="F154" s="1"/>
      <c r="G154" s="1" t="e">
        <f>VLOOKUP(hare!$C$140&amp;"-8",Sheet1!$B:$I,6,0)</f>
        <v>#N/A</v>
      </c>
      <c r="H154" s="1" t="e">
        <f>VLOOKUP(hare!$C$140&amp;"-8",Sheet1!$B:$I,7,0)</f>
        <v>#N/A</v>
      </c>
      <c r="I154" s="1"/>
      <c r="J154" s="1"/>
      <c r="K154" s="1" t="e">
        <f>VLOOKUP(hare!$C$140&amp;"-9",Sheet1!$B:$I,6,0)</f>
        <v>#N/A</v>
      </c>
      <c r="L154" s="1" t="e">
        <f>VLOOKUP(hare!$C$140&amp;"-9",Sheet1!$B:$I,7,0)</f>
        <v>#N/A</v>
      </c>
      <c r="M154" s="1" t="e">
        <f>VLOOKUP(hare!$C$140&amp;"-10",Sheet1!$B:$I,6,0)</f>
        <v>#N/A</v>
      </c>
      <c r="N154" s="1"/>
      <c r="O154" s="1"/>
      <c r="P154" s="1" t="e">
        <f>VLOOKUP(hare!$C$140&amp;"-10",Sheet1!$B:$I,7,0)</f>
        <v>#N/A</v>
      </c>
      <c r="Q154" s="1" t="e">
        <f>VLOOKUP(hare!$C$140&amp;"-11",Sheet1!$B:$I,6,0)</f>
        <v>#N/A</v>
      </c>
      <c r="R154" s="1"/>
      <c r="S154" s="1"/>
      <c r="T154" s="1" t="e">
        <f>VLOOKUP(hare!$C$140&amp;"-11",Sheet1!$B:$I,7,0)</f>
        <v>#N/A</v>
      </c>
      <c r="U154" s="1" t="e">
        <f>VLOOKUP(hare!$C$140&amp;"-12",Sheet1!$B:$I,6,0)</f>
        <v>#N/A</v>
      </c>
      <c r="V154" s="1"/>
      <c r="W154" s="1"/>
      <c r="X154" s="1" t="e">
        <f>VLOOKUP(hare!$C$140&amp;"-12",Sheet1!$B:$I,7,0)</f>
        <v>#N/A</v>
      </c>
      <c r="Y154" s="1"/>
      <c r="Z154" s="1"/>
      <c r="AA154" s="1"/>
      <c r="AB154" s="1"/>
      <c r="AC154" s="1"/>
      <c r="AD154" s="1"/>
    </row>
    <row r="155" spans="2:30">
      <c r="B155" s="1"/>
      <c r="C155" s="22" t="e">
        <f t="shared" ref="C155:X155" si="18">IF($G$140=1,NA(),C152+C154/2)</f>
        <v>#N/A</v>
      </c>
      <c r="D155" s="22" t="e">
        <f t="shared" si="18"/>
        <v>#N/A</v>
      </c>
      <c r="G155" s="22" t="e">
        <f t="shared" si="18"/>
        <v>#N/A</v>
      </c>
      <c r="H155" s="22" t="e">
        <f t="shared" si="18"/>
        <v>#N/A</v>
      </c>
      <c r="K155" s="22" t="e">
        <f t="shared" si="18"/>
        <v>#N/A</v>
      </c>
      <c r="L155" s="22" t="e">
        <f t="shared" si="18"/>
        <v>#N/A</v>
      </c>
      <c r="M155" s="22" t="e">
        <f t="shared" si="18"/>
        <v>#N/A</v>
      </c>
      <c r="P155" s="22" t="e">
        <f t="shared" si="18"/>
        <v>#N/A</v>
      </c>
      <c r="Q155" s="22" t="e">
        <f t="shared" si="18"/>
        <v>#N/A</v>
      </c>
      <c r="T155" s="22" t="e">
        <f t="shared" si="18"/>
        <v>#N/A</v>
      </c>
      <c r="U155" s="22" t="e">
        <f t="shared" si="18"/>
        <v>#N/A</v>
      </c>
      <c r="X155" s="22" t="e">
        <f t="shared" si="18"/>
        <v>#N/A</v>
      </c>
      <c r="Y155" s="1"/>
      <c r="Z155" s="1"/>
      <c r="AA155" s="1"/>
      <c r="AB155" s="1"/>
      <c r="AC155" s="1"/>
      <c r="AD155" s="1"/>
    </row>
    <row r="156" spans="2:30">
      <c r="B156" s="1"/>
      <c r="C156" s="22" t="e">
        <f>IF($G$140=1,NA(),C152-C154/2)</f>
        <v>#N/A</v>
      </c>
      <c r="D156" s="22" t="e">
        <f>IF($G$140=1,NA(),D152+D154/2)</f>
        <v>#N/A</v>
      </c>
      <c r="G156" s="22" t="e">
        <f>IF($G$140=1,NA(),G152-G154/2)</f>
        <v>#N/A</v>
      </c>
      <c r="H156" s="22" t="e">
        <f>IF($G$140=1,NA(),H152+H154/2)</f>
        <v>#N/A</v>
      </c>
      <c r="K156" s="22" t="e">
        <f>IF($G$140=1,NA(),K152-K154/2)</f>
        <v>#N/A</v>
      </c>
      <c r="L156" s="22" t="e">
        <f>IF($G$140=1,NA(),L152+L154/2)</f>
        <v>#N/A</v>
      </c>
      <c r="M156" s="22" t="e">
        <f>IF($G$140=1,NA(),M152-M154/2)</f>
        <v>#N/A</v>
      </c>
      <c r="P156" s="22" t="e">
        <f>IF($G$140=1,NA(),P152+P154/2)</f>
        <v>#N/A</v>
      </c>
      <c r="Q156" s="22" t="e">
        <f>IF($G$140=1,NA(),Q152-Q154/2)</f>
        <v>#N/A</v>
      </c>
      <c r="T156" s="22" t="e">
        <f>IF($G$140=1,NA(),T152+T154/2)</f>
        <v>#N/A</v>
      </c>
      <c r="U156" s="22" t="e">
        <f>IF($G$140=1,NA(),U152-U154/2)</f>
        <v>#N/A</v>
      </c>
      <c r="X156" s="22" t="e">
        <f>IF($G$140=1,NA(),X152+X154/2)</f>
        <v>#N/A</v>
      </c>
      <c r="Y156" s="1"/>
      <c r="Z156" s="1"/>
      <c r="AA156" s="1"/>
      <c r="AB156" s="1"/>
      <c r="AC156" s="1"/>
      <c r="AD156" s="1"/>
    </row>
    <row r="157" spans="2:30">
      <c r="B157" s="1"/>
      <c r="C157" s="22" t="e">
        <f t="shared" ref="C157:X157" si="19">IF($G$140=1,NA(),C152-C154/2)</f>
        <v>#N/A</v>
      </c>
      <c r="D157" s="22" t="e">
        <f t="shared" si="19"/>
        <v>#N/A</v>
      </c>
      <c r="G157" s="22" t="e">
        <f t="shared" si="19"/>
        <v>#N/A</v>
      </c>
      <c r="H157" s="22" t="e">
        <f t="shared" si="19"/>
        <v>#N/A</v>
      </c>
      <c r="K157" s="22" t="e">
        <f t="shared" si="19"/>
        <v>#N/A</v>
      </c>
      <c r="L157" s="22" t="e">
        <f t="shared" si="19"/>
        <v>#N/A</v>
      </c>
      <c r="M157" s="22" t="e">
        <f t="shared" si="19"/>
        <v>#N/A</v>
      </c>
      <c r="P157" s="22" t="e">
        <f t="shared" si="19"/>
        <v>#N/A</v>
      </c>
      <c r="Q157" s="22" t="e">
        <f t="shared" si="19"/>
        <v>#N/A</v>
      </c>
      <c r="T157" s="22" t="e">
        <f t="shared" si="19"/>
        <v>#N/A</v>
      </c>
      <c r="U157" s="22" t="e">
        <f t="shared" si="19"/>
        <v>#N/A</v>
      </c>
      <c r="X157" s="22" t="e">
        <f t="shared" si="19"/>
        <v>#N/A</v>
      </c>
      <c r="Y157" s="1"/>
      <c r="Z157" s="1"/>
      <c r="AA157" s="1"/>
      <c r="AB157" s="1"/>
      <c r="AC157" s="1"/>
      <c r="AD157" s="1"/>
    </row>
    <row r="158" spans="2:30">
      <c r="B158" s="1"/>
      <c r="C158" s="22" t="e">
        <f>IF($G$140=1,NA(),C152+C154/2)</f>
        <v>#N/A</v>
      </c>
      <c r="D158" s="22" t="e">
        <f>IF($G$140=1,NA(),D152-D154/2)</f>
        <v>#N/A</v>
      </c>
      <c r="G158" s="22" t="e">
        <f>IF($G$140=1,NA(),G152+G154/2)</f>
        <v>#N/A</v>
      </c>
      <c r="H158" s="22" t="e">
        <f>IF($G$140=1,NA(),H152-H154/2)</f>
        <v>#N/A</v>
      </c>
      <c r="K158" s="22" t="e">
        <f>IF($G$140=1,NA(),K152+K154/2)</f>
        <v>#N/A</v>
      </c>
      <c r="L158" s="22" t="e">
        <f>IF($G$140=1,NA(),L152-L154/2)</f>
        <v>#N/A</v>
      </c>
      <c r="M158" s="22" t="e">
        <f>IF($G$140=1,NA(),M152+M154/2)</f>
        <v>#N/A</v>
      </c>
      <c r="P158" s="22" t="e">
        <f>IF($G$140=1,NA(),P152-P154/2)</f>
        <v>#N/A</v>
      </c>
      <c r="Q158" s="22" t="e">
        <f>IF($G$140=1,NA(),Q152+Q154/2)</f>
        <v>#N/A</v>
      </c>
      <c r="T158" s="22" t="e">
        <f>IF($G$140=1,NA(),T152-T154/2)</f>
        <v>#N/A</v>
      </c>
      <c r="U158" s="22" t="e">
        <f>IF($G$140=1,NA(),U152+U154/2)</f>
        <v>#N/A</v>
      </c>
      <c r="X158" s="22" t="e">
        <f>IF($G$140=1,NA(),X152-X154/2)</f>
        <v>#N/A</v>
      </c>
      <c r="Y158" s="1"/>
      <c r="Z158" s="1"/>
      <c r="AA158" s="1"/>
      <c r="AB158" s="1"/>
      <c r="AC158" s="1"/>
      <c r="AD158" s="1"/>
    </row>
    <row r="159" spans="2:30">
      <c r="B159" s="1"/>
      <c r="C159" s="22" t="e">
        <f t="shared" ref="C159:X159" si="20">IF($G$140=1,NA(),C152+C154/2)</f>
        <v>#N/A</v>
      </c>
      <c r="D159" s="22" t="e">
        <f t="shared" si="20"/>
        <v>#N/A</v>
      </c>
      <c r="G159" s="22" t="e">
        <f t="shared" si="20"/>
        <v>#N/A</v>
      </c>
      <c r="H159" s="22" t="e">
        <f t="shared" si="20"/>
        <v>#N/A</v>
      </c>
      <c r="K159" s="22" t="e">
        <f t="shared" si="20"/>
        <v>#N/A</v>
      </c>
      <c r="L159" s="22" t="e">
        <f t="shared" si="20"/>
        <v>#N/A</v>
      </c>
      <c r="M159" s="22" t="e">
        <f t="shared" si="20"/>
        <v>#N/A</v>
      </c>
      <c r="P159" s="22" t="e">
        <f t="shared" si="20"/>
        <v>#N/A</v>
      </c>
      <c r="Q159" s="22" t="e">
        <f t="shared" si="20"/>
        <v>#N/A</v>
      </c>
      <c r="T159" s="22" t="e">
        <f t="shared" si="20"/>
        <v>#N/A</v>
      </c>
      <c r="U159" s="22" t="e">
        <f t="shared" si="20"/>
        <v>#N/A</v>
      </c>
      <c r="X159" s="22" t="e">
        <f t="shared" si="20"/>
        <v>#N/A</v>
      </c>
      <c r="Y159" s="1"/>
      <c r="Z159" s="1"/>
      <c r="AA159" s="1"/>
      <c r="AB159" s="1"/>
      <c r="AC159" s="1"/>
      <c r="AD159" s="1"/>
    </row>
    <row r="160" spans="2:30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</row>
    <row r="161" spans="2:30">
      <c r="B161" s="1"/>
      <c r="C161" s="1" t="s">
        <v>74</v>
      </c>
      <c r="D161" s="1" t="s">
        <v>75</v>
      </c>
      <c r="E161" s="1"/>
      <c r="F161" s="1"/>
      <c r="G161" s="1" t="s">
        <v>74</v>
      </c>
      <c r="H161" s="1" t="s">
        <v>75</v>
      </c>
      <c r="I161" s="1"/>
      <c r="J161" s="1"/>
      <c r="K161" s="1" t="s">
        <v>74</v>
      </c>
      <c r="L161" s="1" t="s">
        <v>75</v>
      </c>
      <c r="M161" s="1" t="s">
        <v>74</v>
      </c>
      <c r="N161" s="1"/>
      <c r="O161" s="1"/>
      <c r="P161" s="1" t="s">
        <v>75</v>
      </c>
      <c r="Q161" s="1" t="s">
        <v>74</v>
      </c>
      <c r="R161" s="1"/>
      <c r="S161" s="1"/>
      <c r="T161" s="1" t="s">
        <v>75</v>
      </c>
      <c r="U161" s="1" t="s">
        <v>74</v>
      </c>
      <c r="V161" s="1"/>
      <c r="W161" s="1"/>
      <c r="X161" s="1" t="s">
        <v>75</v>
      </c>
      <c r="Y161" s="1"/>
      <c r="Z161" s="1"/>
      <c r="AA161" s="1"/>
      <c r="AB161" s="1"/>
      <c r="AC161" s="1"/>
      <c r="AD161" s="1"/>
    </row>
    <row r="162" spans="2:30">
      <c r="B162" s="1"/>
      <c r="C162" s="1" t="e">
        <f>VLOOKUP(hare!$C$140&amp;"-13",Sheet1!$B:$I,3,0)</f>
        <v>#N/A</v>
      </c>
      <c r="D162" s="1" t="e">
        <f>VLOOKUP(hare!$C$140&amp;"-13",Sheet1!$B:$I,4,0)</f>
        <v>#N/A</v>
      </c>
      <c r="E162" s="1"/>
      <c r="F162" s="1"/>
      <c r="G162" s="1" t="e">
        <f>VLOOKUP(hare!$C$140&amp;"-14",Sheet1!$B:$I,3,0)</f>
        <v>#N/A</v>
      </c>
      <c r="H162" s="1" t="e">
        <f>VLOOKUP(hare!$C$140&amp;"-14",Sheet1!$B:$I,4,0)</f>
        <v>#N/A</v>
      </c>
      <c r="I162" s="1"/>
      <c r="J162" s="1"/>
      <c r="K162" s="1" t="e">
        <f>VLOOKUP(hare!$C$140&amp;"-15",Sheet1!$B:$I,3,0)</f>
        <v>#N/A</v>
      </c>
      <c r="L162" s="1" t="e">
        <f>VLOOKUP(hare!$C$140&amp;"-15",Sheet1!$B:$I,4,0)</f>
        <v>#N/A</v>
      </c>
      <c r="M162" s="1" t="e">
        <f>VLOOKUP(hare!$C$140&amp;"-16",Sheet1!$B:$I,3,0)</f>
        <v>#N/A</v>
      </c>
      <c r="N162" s="1"/>
      <c r="O162" s="1"/>
      <c r="P162" s="1" t="e">
        <f>VLOOKUP(hare!$C$140&amp;"-16",Sheet1!$B:$I,4,0)</f>
        <v>#N/A</v>
      </c>
      <c r="Q162" s="1" t="e">
        <f>VLOOKUP(hare!$C$140&amp;"-17",Sheet1!$B:$I,3,0)</f>
        <v>#N/A</v>
      </c>
      <c r="R162" s="1"/>
      <c r="S162" s="1"/>
      <c r="T162" s="1" t="e">
        <f>VLOOKUP(hare!$C$140&amp;"-17",Sheet1!$B:$I,4,0)</f>
        <v>#N/A</v>
      </c>
      <c r="U162" s="1" t="e">
        <f>VLOOKUP(hare!$C$140&amp;"-18",Sheet1!$B:$I,3,0)</f>
        <v>#N/A</v>
      </c>
      <c r="V162" s="1"/>
      <c r="W162" s="1"/>
      <c r="X162" s="1" t="e">
        <f>VLOOKUP(hare!$C$140&amp;"-18",Sheet1!$B:$I,4,0)</f>
        <v>#N/A</v>
      </c>
      <c r="Y162" s="1"/>
      <c r="Z162" s="1"/>
      <c r="AA162" s="1"/>
      <c r="AB162" s="1"/>
      <c r="AC162" s="1"/>
      <c r="AD162" s="1"/>
    </row>
    <row r="163" spans="2:30">
      <c r="B163" s="1"/>
      <c r="C163" s="22"/>
      <c r="D163" s="7" t="s">
        <v>83</v>
      </c>
      <c r="E163" s="7"/>
      <c r="F163" s="7"/>
      <c r="G163" s="1"/>
      <c r="H163" s="1" t="s">
        <v>84</v>
      </c>
      <c r="I163" s="1"/>
      <c r="J163" s="1"/>
      <c r="L163" s="7" t="s">
        <v>85</v>
      </c>
      <c r="M163" s="1"/>
      <c r="N163" s="1"/>
      <c r="O163" s="1"/>
      <c r="P163" s="1" t="s">
        <v>86</v>
      </c>
      <c r="T163" s="7" t="s">
        <v>87</v>
      </c>
      <c r="X163" s="1" t="s">
        <v>88</v>
      </c>
      <c r="Y163" s="1"/>
      <c r="Z163" s="1"/>
      <c r="AA163" s="1"/>
      <c r="AB163" s="1"/>
      <c r="AC163" s="1"/>
      <c r="AD163" s="1"/>
    </row>
    <row r="164" spans="2:30">
      <c r="B164" s="1"/>
      <c r="C164" s="1" t="e">
        <f>VLOOKUP(hare!$C$140&amp;"-13",Sheet1!$B:$I,6,0)</f>
        <v>#N/A</v>
      </c>
      <c r="D164" s="1" t="e">
        <f>VLOOKUP(hare!$C$140&amp;"-13",Sheet1!$B:$I,7,0)</f>
        <v>#N/A</v>
      </c>
      <c r="E164" s="1"/>
      <c r="F164" s="1"/>
      <c r="G164" s="1" t="e">
        <f>VLOOKUP(hare!$C$140&amp;"-14",Sheet1!$B:$I,6,0)</f>
        <v>#N/A</v>
      </c>
      <c r="H164" s="1" t="e">
        <f>VLOOKUP(hare!$C$140&amp;"-14",Sheet1!$B:$I,7,0)</f>
        <v>#N/A</v>
      </c>
      <c r="I164" s="1"/>
      <c r="J164" s="1"/>
      <c r="K164" s="1" t="e">
        <f>VLOOKUP(hare!$C$140&amp;"-15",Sheet1!$B:$I,6,0)</f>
        <v>#N/A</v>
      </c>
      <c r="L164" s="1" t="e">
        <f>VLOOKUP(hare!$C$140&amp;"-15",Sheet1!$B:$I,7,0)</f>
        <v>#N/A</v>
      </c>
      <c r="M164" s="1" t="e">
        <f>VLOOKUP(hare!$C$140&amp;"-16",Sheet1!$B:$I,6,0)</f>
        <v>#N/A</v>
      </c>
      <c r="N164" s="1"/>
      <c r="O164" s="1"/>
      <c r="P164" s="1" t="e">
        <f>VLOOKUP(hare!$C$140&amp;"-16",Sheet1!$B:$I,7,0)</f>
        <v>#N/A</v>
      </c>
      <c r="Q164" s="1" t="e">
        <f>VLOOKUP(hare!$C$140&amp;"-17",Sheet1!$B:$I,6,0)</f>
        <v>#N/A</v>
      </c>
      <c r="R164" s="1"/>
      <c r="S164" s="1"/>
      <c r="T164" s="1" t="e">
        <f>VLOOKUP(hare!$C$140&amp;"-17",Sheet1!$B:$I,7,0)</f>
        <v>#N/A</v>
      </c>
      <c r="U164" s="1" t="e">
        <f>VLOOKUP(hare!$C$140&amp;"-18",Sheet1!$B:$I,6,0)</f>
        <v>#N/A</v>
      </c>
      <c r="V164" s="1"/>
      <c r="W164" s="1"/>
      <c r="X164" s="1" t="e">
        <f>VLOOKUP(hare!$C$140&amp;"-18",Sheet1!$B:$I,7,0)</f>
        <v>#N/A</v>
      </c>
      <c r="Y164" s="1"/>
      <c r="Z164" s="1"/>
      <c r="AA164" s="1"/>
      <c r="AB164" s="1"/>
      <c r="AC164" s="1"/>
      <c r="AD164" s="1"/>
    </row>
    <row r="165" spans="2:30">
      <c r="B165" s="1"/>
      <c r="C165" s="22" t="e">
        <f t="shared" ref="C165:X165" si="21">IF($G$140=1,NA(),C162+C164/2)</f>
        <v>#N/A</v>
      </c>
      <c r="D165" s="22" t="e">
        <f t="shared" si="21"/>
        <v>#N/A</v>
      </c>
      <c r="G165" s="22" t="e">
        <f t="shared" si="21"/>
        <v>#N/A</v>
      </c>
      <c r="H165" s="22" t="e">
        <f t="shared" si="21"/>
        <v>#N/A</v>
      </c>
      <c r="K165" s="22" t="e">
        <f t="shared" si="21"/>
        <v>#N/A</v>
      </c>
      <c r="L165" s="22" t="e">
        <f t="shared" si="21"/>
        <v>#N/A</v>
      </c>
      <c r="M165" s="22" t="e">
        <f t="shared" si="21"/>
        <v>#N/A</v>
      </c>
      <c r="P165" s="22" t="e">
        <f t="shared" si="21"/>
        <v>#N/A</v>
      </c>
      <c r="Q165" s="22" t="e">
        <f t="shared" si="21"/>
        <v>#N/A</v>
      </c>
      <c r="T165" s="22" t="e">
        <f t="shared" si="21"/>
        <v>#N/A</v>
      </c>
      <c r="U165" s="22" t="e">
        <f t="shared" si="21"/>
        <v>#N/A</v>
      </c>
      <c r="X165" s="22" t="e">
        <f t="shared" si="21"/>
        <v>#N/A</v>
      </c>
      <c r="Y165" s="1"/>
      <c r="Z165" s="1"/>
      <c r="AA165" s="1"/>
      <c r="AB165" s="1"/>
      <c r="AC165" s="1"/>
      <c r="AD165" s="1"/>
    </row>
    <row r="166" spans="2:30">
      <c r="B166" s="1"/>
      <c r="C166" s="22" t="e">
        <f>IF($G$140=1,NA(),C162-C164/2)</f>
        <v>#N/A</v>
      </c>
      <c r="D166" s="22" t="e">
        <f>IF($G$140=1,NA(),D162+D164/2)</f>
        <v>#N/A</v>
      </c>
      <c r="G166" s="22" t="e">
        <f>IF($G$140=1,NA(),G162-G164/2)</f>
        <v>#N/A</v>
      </c>
      <c r="H166" s="22" t="e">
        <f>IF($G$140=1,NA(),H162+H164/2)</f>
        <v>#N/A</v>
      </c>
      <c r="K166" s="22" t="e">
        <f>IF($G$140=1,NA(),K162-K164/2)</f>
        <v>#N/A</v>
      </c>
      <c r="L166" s="22" t="e">
        <f>IF($G$140=1,NA(),L162+L164/2)</f>
        <v>#N/A</v>
      </c>
      <c r="M166" s="22" t="e">
        <f>IF($G$140=1,NA(),M162-M164/2)</f>
        <v>#N/A</v>
      </c>
      <c r="P166" s="22" t="e">
        <f>IF($G$140=1,NA(),P162+P164/2)</f>
        <v>#N/A</v>
      </c>
      <c r="Q166" s="22" t="e">
        <f>IF($G$140=1,NA(),Q162-Q164/2)</f>
        <v>#N/A</v>
      </c>
      <c r="T166" s="22" t="e">
        <f>IF($G$140=1,NA(),T162+T164/2)</f>
        <v>#N/A</v>
      </c>
      <c r="U166" s="22" t="e">
        <f>IF($G$140=1,NA(),U162-U164/2)</f>
        <v>#N/A</v>
      </c>
      <c r="X166" s="22" t="e">
        <f>IF($G$140=1,NA(),X162+X164/2)</f>
        <v>#N/A</v>
      </c>
      <c r="Y166" s="1"/>
      <c r="Z166" s="1"/>
      <c r="AA166" s="1"/>
      <c r="AB166" s="1"/>
      <c r="AC166" s="1"/>
      <c r="AD166" s="1"/>
    </row>
    <row r="167" spans="2:30">
      <c r="B167" s="1"/>
      <c r="C167" s="22" t="e">
        <f t="shared" ref="C167:X167" si="22">IF($G$140=1,NA(),C162-C164/2)</f>
        <v>#N/A</v>
      </c>
      <c r="D167" s="22" t="e">
        <f t="shared" si="22"/>
        <v>#N/A</v>
      </c>
      <c r="G167" s="22" t="e">
        <f t="shared" si="22"/>
        <v>#N/A</v>
      </c>
      <c r="H167" s="22" t="e">
        <f t="shared" si="22"/>
        <v>#N/A</v>
      </c>
      <c r="K167" s="22" t="e">
        <f t="shared" si="22"/>
        <v>#N/A</v>
      </c>
      <c r="L167" s="22" t="e">
        <f t="shared" si="22"/>
        <v>#N/A</v>
      </c>
      <c r="M167" s="22" t="e">
        <f t="shared" si="22"/>
        <v>#N/A</v>
      </c>
      <c r="P167" s="22" t="e">
        <f t="shared" si="22"/>
        <v>#N/A</v>
      </c>
      <c r="Q167" s="22" t="e">
        <f t="shared" si="22"/>
        <v>#N/A</v>
      </c>
      <c r="T167" s="22" t="e">
        <f t="shared" si="22"/>
        <v>#N/A</v>
      </c>
      <c r="U167" s="22" t="e">
        <f t="shared" si="22"/>
        <v>#N/A</v>
      </c>
      <c r="X167" s="22" t="e">
        <f t="shared" si="22"/>
        <v>#N/A</v>
      </c>
      <c r="Y167" s="1"/>
      <c r="Z167" s="1"/>
      <c r="AA167" s="1"/>
      <c r="AB167" s="1"/>
      <c r="AC167" s="1"/>
      <c r="AD167" s="1"/>
    </row>
    <row r="168" spans="2:30">
      <c r="B168" s="1"/>
      <c r="C168" s="22" t="e">
        <f>IF($G$140=1,NA(),C162+C164/2)</f>
        <v>#N/A</v>
      </c>
      <c r="D168" s="22" t="e">
        <f>IF($G$140=1,NA(),D162-D164/2)</f>
        <v>#N/A</v>
      </c>
      <c r="G168" s="22" t="e">
        <f>IF($G$140=1,NA(),G162+G164/2)</f>
        <v>#N/A</v>
      </c>
      <c r="H168" s="22" t="e">
        <f>IF($G$140=1,NA(),H162-H164/2)</f>
        <v>#N/A</v>
      </c>
      <c r="K168" s="22" t="e">
        <f>IF($G$140=1,NA(),K162+K164/2)</f>
        <v>#N/A</v>
      </c>
      <c r="L168" s="22" t="e">
        <f>IF($G$140=1,NA(),L162-L164/2)</f>
        <v>#N/A</v>
      </c>
      <c r="M168" s="22" t="e">
        <f>IF($G$140=1,NA(),M162+M164/2)</f>
        <v>#N/A</v>
      </c>
      <c r="P168" s="22" t="e">
        <f>IF($G$140=1,NA(),P162-P164/2)</f>
        <v>#N/A</v>
      </c>
      <c r="Q168" s="22" t="e">
        <f>IF($G$140=1,NA(),Q162+Q164/2)</f>
        <v>#N/A</v>
      </c>
      <c r="T168" s="22" t="e">
        <f>IF($G$140=1,NA(),T162-T164/2)</f>
        <v>#N/A</v>
      </c>
      <c r="U168" s="22" t="e">
        <f>IF($G$140=1,NA(),U162+U164/2)</f>
        <v>#N/A</v>
      </c>
      <c r="X168" s="22" t="e">
        <f>IF($G$140=1,NA(),X162-X164/2)</f>
        <v>#N/A</v>
      </c>
      <c r="Y168" s="1"/>
      <c r="Z168" s="1"/>
      <c r="AA168" s="1"/>
      <c r="AB168" s="1"/>
      <c r="AC168" s="1"/>
      <c r="AD168" s="1"/>
    </row>
    <row r="169" spans="2:30">
      <c r="B169" s="1"/>
      <c r="C169" s="22" t="e">
        <f t="shared" ref="C169:X169" si="23">IF($G$140=1,NA(),C162+C164/2)</f>
        <v>#N/A</v>
      </c>
      <c r="D169" s="22" t="e">
        <f t="shared" si="23"/>
        <v>#N/A</v>
      </c>
      <c r="G169" s="22" t="e">
        <f t="shared" si="23"/>
        <v>#N/A</v>
      </c>
      <c r="H169" s="22" t="e">
        <f t="shared" si="23"/>
        <v>#N/A</v>
      </c>
      <c r="K169" s="22" t="e">
        <f t="shared" si="23"/>
        <v>#N/A</v>
      </c>
      <c r="L169" s="22" t="e">
        <f t="shared" si="23"/>
        <v>#N/A</v>
      </c>
      <c r="M169" s="22" t="e">
        <f t="shared" si="23"/>
        <v>#N/A</v>
      </c>
      <c r="P169" s="22" t="e">
        <f t="shared" si="23"/>
        <v>#N/A</v>
      </c>
      <c r="Q169" s="22" t="e">
        <f t="shared" si="23"/>
        <v>#N/A</v>
      </c>
      <c r="T169" s="22" t="e">
        <f t="shared" si="23"/>
        <v>#N/A</v>
      </c>
      <c r="U169" s="22" t="e">
        <f t="shared" si="23"/>
        <v>#N/A</v>
      </c>
      <c r="X169" s="22" t="e">
        <f t="shared" si="23"/>
        <v>#N/A</v>
      </c>
      <c r="Y169" s="1"/>
      <c r="Z169" s="1"/>
      <c r="AA169" s="1"/>
      <c r="AB169" s="1"/>
      <c r="AC169" s="1"/>
      <c r="AD169" s="1"/>
    </row>
    <row r="170" spans="2:30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</row>
    <row r="171" spans="2:30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</row>
    <row r="172" spans="2:30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</row>
    <row r="173" spans="2:30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</row>
    <row r="174" spans="2:30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</row>
    <row r="175" spans="2:30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</row>
    <row r="176" spans="2:30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</row>
    <row r="177" spans="2:30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</row>
    <row r="178" spans="2:30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</row>
    <row r="179" spans="2:30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</row>
    <row r="180" spans="2:30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</row>
    <row r="181" spans="2:30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</row>
    <row r="182" spans="2:30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</row>
    <row r="183" spans="2:30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</row>
    <row r="184" spans="2:30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</row>
    <row r="185" spans="2:30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</row>
    <row r="186" spans="2:30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</row>
    <row r="187" spans="2:30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</row>
    <row r="188" spans="2:30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</row>
    <row r="189" spans="2:30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</row>
    <row r="190" spans="2:30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</row>
    <row r="191" spans="2:30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</row>
    <row r="192" spans="2:30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</row>
    <row r="193" spans="2:30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</row>
    <row r="194" spans="2:30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</row>
    <row r="195" spans="2:30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</row>
    <row r="196" spans="2:30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</row>
    <row r="197" spans="2:30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</row>
    <row r="198" spans="2:30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</row>
    <row r="199" spans="2:30"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</row>
    <row r="200" spans="2:30"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</row>
    <row r="201" spans="2:30"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</row>
    <row r="202" spans="2:30"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</row>
    <row r="203" spans="2:30"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</row>
    <row r="204" spans="2:30"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</row>
    <row r="205" spans="2:30"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</row>
    <row r="206" spans="2:30"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</row>
    <row r="207" spans="2:30"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</row>
    <row r="208" spans="2:30"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</row>
    <row r="209" spans="2:30"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</row>
    <row r="210" spans="2:30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</row>
    <row r="211" spans="2:30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</row>
    <row r="212" spans="2:30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</row>
    <row r="213" spans="2:30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</row>
    <row r="214" spans="2:30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</row>
    <row r="215" spans="2:30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</row>
    <row r="216" spans="2:30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</row>
    <row r="217" spans="2:30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</row>
    <row r="218" spans="2:30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</row>
    <row r="219" spans="2:30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</row>
    <row r="220" spans="2:30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</row>
    <row r="221" spans="2:30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</row>
    <row r="222" spans="2:30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</row>
    <row r="223" spans="2:30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</row>
    <row r="224" spans="2:30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</row>
    <row r="225" spans="2:30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</row>
    <row r="226" spans="2:30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</row>
    <row r="227" spans="2:30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</row>
    <row r="228" spans="2:30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</row>
    <row r="229" spans="2:30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</row>
    <row r="230" spans="2:30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</row>
    <row r="231" spans="2:30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</row>
    <row r="232" spans="2:30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</row>
    <row r="233" spans="2:30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2:30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2:30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2:30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2:30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2:30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2:30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2:30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2:27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2:27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2:27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2:27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2:27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2:27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2:27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2:27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2:27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2:27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2:27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2:27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2:27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2:27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2:27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2:27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2:27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2:27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2:27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2:27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2:27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2:27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2:27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2:27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2:27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2:27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2:27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2:27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2:27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2:27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2:27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2:27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2:26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2:26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2:26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2:26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2:26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2:26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2:26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2:26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2:26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2:26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2:26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2:26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2:26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2:26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2:26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2:26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</sheetData>
  <protectedRanges>
    <protectedRange sqref="T3:T9 X3:X9 G3:G15 G19:G20 L3:L21 P4 P16:P21" name="범위5"/>
    <protectedRange sqref="AH30 AF2:AF29 AG31:AG40 AJ30" name="범위5_1"/>
    <protectedRange sqref="C107:F108 D143:F143 D113:F113 B115:X139 D153:F153 L153 T153 D163:F163 L163 T163" name="범위1"/>
  </protectedRanges>
  <sortState ref="AF2:AG38">
    <sortCondition ref="AF38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4A306-BB0A-4354-9F04-AA9FE8DE5BF0}">
  <sheetPr codeName="Sheet3"/>
  <dimension ref="A1:I107"/>
  <sheetViews>
    <sheetView workbookViewId="0">
      <pane xSplit="1" ySplit="1" topLeftCell="B50" activePane="bottomRight" state="frozen"/>
      <selection pane="topRight" activeCell="B1" sqref="B1"/>
      <selection pane="bottomLeft" activeCell="A2" sqref="A2"/>
      <selection pane="bottomRight" activeCell="A66" sqref="A66"/>
    </sheetView>
  </sheetViews>
  <sheetFormatPr defaultRowHeight="15"/>
  <cols>
    <col min="2" max="2" width="22.42578125" bestFit="1" customWidth="1"/>
  </cols>
  <sheetData>
    <row r="1" spans="2:9"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</row>
    <row r="2" spans="2:9">
      <c r="B2" s="19" t="s">
        <v>92</v>
      </c>
      <c r="C2">
        <v>3</v>
      </c>
      <c r="D2">
        <v>-0.5</v>
      </c>
      <c r="F2">
        <v>3</v>
      </c>
      <c r="G2">
        <v>2</v>
      </c>
      <c r="H2">
        <v>20</v>
      </c>
      <c r="I2">
        <v>2</v>
      </c>
    </row>
    <row r="3" spans="2:9">
      <c r="B3" s="19" t="s">
        <v>93</v>
      </c>
      <c r="C3" s="22">
        <v>3</v>
      </c>
      <c r="D3">
        <v>-0.65</v>
      </c>
      <c r="E3">
        <v>-4.2</v>
      </c>
      <c r="F3">
        <v>2</v>
      </c>
      <c r="G3">
        <v>2</v>
      </c>
      <c r="H3">
        <v>3</v>
      </c>
      <c r="I3">
        <v>2</v>
      </c>
    </row>
    <row r="4" spans="2:9" s="22" customFormat="1">
      <c r="B4" s="19" t="s">
        <v>95</v>
      </c>
      <c r="C4" s="22">
        <v>3</v>
      </c>
      <c r="D4" s="22">
        <v>-3.05</v>
      </c>
      <c r="F4" s="22">
        <v>2</v>
      </c>
      <c r="G4" s="22">
        <v>2</v>
      </c>
      <c r="H4" s="22">
        <v>3</v>
      </c>
      <c r="I4" s="22">
        <v>2</v>
      </c>
    </row>
    <row r="5" spans="2:9" s="22" customFormat="1">
      <c r="B5" s="19" t="s">
        <v>96</v>
      </c>
      <c r="C5" s="22">
        <v>3</v>
      </c>
      <c r="D5" s="22">
        <v>-3.05</v>
      </c>
      <c r="E5" s="22">
        <v>-4.2</v>
      </c>
      <c r="F5" s="22">
        <v>2</v>
      </c>
      <c r="G5" s="22">
        <v>2</v>
      </c>
      <c r="H5" s="22">
        <v>3</v>
      </c>
      <c r="I5" s="22">
        <v>2</v>
      </c>
    </row>
    <row r="6" spans="2:9" s="22" customFormat="1">
      <c r="B6" s="19" t="s">
        <v>97</v>
      </c>
      <c r="C6" s="22">
        <v>3</v>
      </c>
      <c r="D6" s="22">
        <v>-3.05</v>
      </c>
      <c r="E6" s="22">
        <v>-8.4</v>
      </c>
      <c r="F6" s="22">
        <v>2</v>
      </c>
      <c r="G6" s="22">
        <v>2</v>
      </c>
      <c r="H6" s="22">
        <v>3</v>
      </c>
      <c r="I6" s="22">
        <v>2</v>
      </c>
    </row>
    <row r="7" spans="2:9">
      <c r="B7" s="19" t="s">
        <v>23</v>
      </c>
      <c r="C7" s="22">
        <v>7</v>
      </c>
      <c r="D7" s="22"/>
      <c r="E7" s="22"/>
      <c r="F7" s="22">
        <v>1</v>
      </c>
      <c r="G7" s="22">
        <v>4</v>
      </c>
      <c r="H7" s="22"/>
      <c r="I7" s="22">
        <v>1</v>
      </c>
    </row>
    <row r="8" spans="2:9">
      <c r="B8" s="19" t="s">
        <v>173</v>
      </c>
      <c r="C8">
        <v>3</v>
      </c>
      <c r="D8">
        <v>1.75</v>
      </c>
      <c r="F8">
        <v>2</v>
      </c>
      <c r="G8">
        <v>2</v>
      </c>
      <c r="H8">
        <v>3</v>
      </c>
      <c r="I8">
        <v>2</v>
      </c>
    </row>
    <row r="9" spans="2:9" s="22" customFormat="1">
      <c r="B9" s="19" t="s">
        <v>174</v>
      </c>
      <c r="C9" s="22">
        <v>3</v>
      </c>
      <c r="D9" s="22">
        <v>1.75</v>
      </c>
      <c r="E9" s="22">
        <v>-4.2</v>
      </c>
      <c r="F9" s="22">
        <v>2</v>
      </c>
      <c r="G9" s="22">
        <v>2</v>
      </c>
      <c r="H9" s="22">
        <v>3</v>
      </c>
      <c r="I9" s="22">
        <v>2</v>
      </c>
    </row>
    <row r="10" spans="2:9" s="22" customFormat="1">
      <c r="B10" s="19" t="s">
        <v>61</v>
      </c>
      <c r="C10" s="22">
        <v>3</v>
      </c>
      <c r="D10">
        <v>1.5</v>
      </c>
      <c r="F10">
        <v>3</v>
      </c>
      <c r="G10">
        <v>3</v>
      </c>
      <c r="H10">
        <v>21</v>
      </c>
      <c r="I10">
        <v>2</v>
      </c>
    </row>
    <row r="11" spans="2:9" s="22" customFormat="1">
      <c r="B11" s="19" t="s">
        <v>59</v>
      </c>
      <c r="C11" s="22">
        <v>3</v>
      </c>
      <c r="D11" s="22">
        <v>2.5</v>
      </c>
      <c r="F11" s="22">
        <v>3</v>
      </c>
      <c r="G11" s="22">
        <v>5</v>
      </c>
      <c r="H11" s="22">
        <v>21</v>
      </c>
      <c r="I11" s="22">
        <v>2</v>
      </c>
    </row>
    <row r="12" spans="2:9" s="22" customFormat="1">
      <c r="B12" s="19" t="s">
        <v>60</v>
      </c>
      <c r="C12" s="22">
        <v>3</v>
      </c>
      <c r="D12" s="22">
        <v>4</v>
      </c>
      <c r="F12" s="22">
        <v>3</v>
      </c>
      <c r="G12" s="22">
        <v>8</v>
      </c>
      <c r="H12" s="22">
        <v>21</v>
      </c>
      <c r="I12" s="22">
        <v>2</v>
      </c>
    </row>
    <row r="13" spans="2:9">
      <c r="B13" s="19" t="s">
        <v>89</v>
      </c>
      <c r="C13">
        <v>3</v>
      </c>
      <c r="D13">
        <v>-3.05</v>
      </c>
      <c r="F13">
        <v>2</v>
      </c>
      <c r="G13">
        <v>2</v>
      </c>
      <c r="H13">
        <v>3</v>
      </c>
      <c r="I13">
        <v>2</v>
      </c>
    </row>
    <row r="14" spans="2:9" s="22" customFormat="1">
      <c r="B14" s="19" t="s">
        <v>90</v>
      </c>
      <c r="C14" s="22">
        <v>3</v>
      </c>
      <c r="D14" s="22">
        <v>-5.45</v>
      </c>
      <c r="F14" s="22">
        <v>2</v>
      </c>
      <c r="G14" s="22">
        <v>2</v>
      </c>
      <c r="H14" s="22">
        <v>3</v>
      </c>
      <c r="I14" s="22">
        <v>2</v>
      </c>
    </row>
    <row r="15" spans="2:9">
      <c r="B15" s="19" t="s">
        <v>14</v>
      </c>
      <c r="C15">
        <v>3</v>
      </c>
      <c r="F15">
        <v>3</v>
      </c>
      <c r="G15">
        <v>2</v>
      </c>
      <c r="H15">
        <v>21</v>
      </c>
      <c r="I15">
        <v>2</v>
      </c>
    </row>
    <row r="16" spans="2:9">
      <c r="B16" s="19" t="s">
        <v>67</v>
      </c>
      <c r="C16">
        <v>3</v>
      </c>
      <c r="D16">
        <v>1.75</v>
      </c>
      <c r="F16">
        <v>2</v>
      </c>
      <c r="G16">
        <v>2</v>
      </c>
      <c r="H16">
        <v>3</v>
      </c>
      <c r="I16">
        <v>2</v>
      </c>
    </row>
    <row r="17" spans="2:9" s="22" customFormat="1">
      <c r="B17" s="19" t="s">
        <v>58</v>
      </c>
      <c r="C17" s="22">
        <v>3</v>
      </c>
      <c r="D17" s="22">
        <v>1.75</v>
      </c>
      <c r="E17" s="22">
        <v>-4.2</v>
      </c>
      <c r="F17" s="22">
        <v>2</v>
      </c>
      <c r="G17" s="22">
        <v>2</v>
      </c>
      <c r="H17" s="22">
        <v>3</v>
      </c>
      <c r="I17" s="22">
        <v>2</v>
      </c>
    </row>
    <row r="18" spans="2:9">
      <c r="B18" s="19" t="s">
        <v>68</v>
      </c>
      <c r="C18" s="22">
        <v>7</v>
      </c>
      <c r="D18" s="22"/>
      <c r="E18" s="22"/>
      <c r="F18" s="22">
        <v>1</v>
      </c>
      <c r="G18" s="22">
        <v>1.5</v>
      </c>
      <c r="H18" s="22"/>
      <c r="I18" s="22">
        <v>1</v>
      </c>
    </row>
    <row r="19" spans="2:9" s="22" customFormat="1">
      <c r="B19" s="19" t="s">
        <v>50</v>
      </c>
      <c r="C19" s="22">
        <v>7</v>
      </c>
      <c r="F19" s="22">
        <v>1</v>
      </c>
      <c r="G19" s="22">
        <v>4</v>
      </c>
      <c r="I19" s="22">
        <v>1</v>
      </c>
    </row>
    <row r="20" spans="2:9">
      <c r="B20" s="19" t="s">
        <v>17</v>
      </c>
      <c r="C20" s="22">
        <v>7</v>
      </c>
      <c r="D20" s="22"/>
      <c r="E20" s="22"/>
      <c r="F20" s="22">
        <v>1</v>
      </c>
      <c r="G20" s="22">
        <v>1</v>
      </c>
      <c r="H20" s="22"/>
      <c r="I20" s="22">
        <v>1</v>
      </c>
    </row>
    <row r="21" spans="2:9">
      <c r="B21" s="19" t="s">
        <v>69</v>
      </c>
      <c r="C21">
        <v>3</v>
      </c>
      <c r="D21">
        <v>-3.2</v>
      </c>
      <c r="E21">
        <v>-4.2</v>
      </c>
      <c r="F21">
        <v>2</v>
      </c>
      <c r="G21">
        <v>2</v>
      </c>
      <c r="H21">
        <v>4</v>
      </c>
      <c r="I21">
        <v>2</v>
      </c>
    </row>
    <row r="22" spans="2:9" s="22" customFormat="1">
      <c r="B22" s="19" t="s">
        <v>45</v>
      </c>
      <c r="C22" s="22">
        <v>3</v>
      </c>
      <c r="D22" s="22">
        <v>-3.2</v>
      </c>
      <c r="F22" s="22">
        <v>2</v>
      </c>
      <c r="G22" s="22">
        <v>2</v>
      </c>
      <c r="H22" s="22">
        <v>4</v>
      </c>
      <c r="I22" s="22">
        <v>2</v>
      </c>
    </row>
    <row r="23" spans="2:9" s="22" customFormat="1">
      <c r="B23" s="19" t="s">
        <v>46</v>
      </c>
      <c r="C23" s="22">
        <v>3</v>
      </c>
      <c r="D23" s="22">
        <v>-3.2</v>
      </c>
      <c r="E23" s="22">
        <v>4.2</v>
      </c>
      <c r="F23" s="22">
        <v>2</v>
      </c>
      <c r="G23" s="22">
        <v>2</v>
      </c>
      <c r="H23" s="22">
        <v>4</v>
      </c>
      <c r="I23" s="22">
        <v>2</v>
      </c>
    </row>
    <row r="24" spans="2:9" s="22" customFormat="1">
      <c r="B24" s="19" t="s">
        <v>47</v>
      </c>
      <c r="C24" s="22">
        <v>3</v>
      </c>
      <c r="D24" s="22">
        <v>-0.8</v>
      </c>
      <c r="E24" s="22">
        <v>-4.2</v>
      </c>
      <c r="F24" s="22">
        <v>2</v>
      </c>
      <c r="G24" s="22">
        <v>2</v>
      </c>
      <c r="H24" s="22">
        <v>4</v>
      </c>
      <c r="I24" s="22">
        <v>2</v>
      </c>
    </row>
    <row r="25" spans="2:9" s="22" customFormat="1">
      <c r="B25" s="19" t="s">
        <v>48</v>
      </c>
      <c r="C25" s="22">
        <v>3</v>
      </c>
      <c r="D25" s="22">
        <v>-0.8</v>
      </c>
      <c r="E25" s="22">
        <v>4.2</v>
      </c>
      <c r="F25" s="22">
        <v>2</v>
      </c>
      <c r="G25" s="22">
        <v>2</v>
      </c>
      <c r="H25" s="22">
        <v>4</v>
      </c>
      <c r="I25" s="22">
        <v>2</v>
      </c>
    </row>
    <row r="26" spans="2:9" s="22" customFormat="1">
      <c r="B26" s="19" t="s">
        <v>49</v>
      </c>
      <c r="C26" s="22">
        <v>3</v>
      </c>
      <c r="D26" s="22">
        <v>1.5999999999999999</v>
      </c>
      <c r="F26" s="22">
        <v>2</v>
      </c>
      <c r="G26" s="22">
        <v>2</v>
      </c>
      <c r="H26" s="22">
        <v>4</v>
      </c>
      <c r="I26" s="22">
        <v>2</v>
      </c>
    </row>
    <row r="27" spans="2:9">
      <c r="B27" s="19" t="s">
        <v>19</v>
      </c>
      <c r="C27">
        <v>7</v>
      </c>
      <c r="D27">
        <v>2</v>
      </c>
      <c r="F27">
        <v>1</v>
      </c>
      <c r="G27">
        <v>2</v>
      </c>
      <c r="I27">
        <v>1</v>
      </c>
    </row>
    <row r="28" spans="2:9" s="22" customFormat="1">
      <c r="B28" s="19" t="s">
        <v>62</v>
      </c>
      <c r="C28" s="22">
        <v>3</v>
      </c>
      <c r="D28" s="22">
        <v>4.1500000000000004</v>
      </c>
      <c r="F28" s="22">
        <v>2</v>
      </c>
      <c r="G28" s="22">
        <v>2</v>
      </c>
      <c r="H28" s="22">
        <v>3</v>
      </c>
      <c r="I28" s="22">
        <v>2</v>
      </c>
    </row>
    <row r="29" spans="2:9">
      <c r="B29" s="19" t="s">
        <v>25</v>
      </c>
      <c r="C29" s="22">
        <v>7</v>
      </c>
      <c r="D29" s="22"/>
      <c r="E29" s="22"/>
      <c r="F29" s="22">
        <v>1</v>
      </c>
      <c r="G29" s="22">
        <v>2.5</v>
      </c>
      <c r="H29" s="22"/>
      <c r="I29" s="22">
        <v>1</v>
      </c>
    </row>
    <row r="30" spans="2:9">
      <c r="B30" s="19" t="s">
        <v>12</v>
      </c>
      <c r="C30">
        <v>3</v>
      </c>
      <c r="D30">
        <v>1.6</v>
      </c>
      <c r="F30">
        <v>2</v>
      </c>
      <c r="G30">
        <v>2</v>
      </c>
      <c r="H30">
        <v>4</v>
      </c>
      <c r="I30">
        <v>2</v>
      </c>
    </row>
    <row r="31" spans="2:9">
      <c r="B31" s="19" t="s">
        <v>70</v>
      </c>
      <c r="C31">
        <v>3</v>
      </c>
      <c r="D31">
        <v>1.75</v>
      </c>
      <c r="F31">
        <v>2</v>
      </c>
      <c r="G31">
        <v>2</v>
      </c>
      <c r="H31">
        <v>3</v>
      </c>
      <c r="I31">
        <v>2</v>
      </c>
    </row>
    <row r="32" spans="2:9" s="22" customFormat="1">
      <c r="B32" s="19" t="s">
        <v>53</v>
      </c>
      <c r="C32" s="22">
        <v>3</v>
      </c>
      <c r="D32" s="22">
        <v>4.1500000000000004</v>
      </c>
      <c r="F32" s="22">
        <v>2</v>
      </c>
      <c r="G32" s="22">
        <v>2</v>
      </c>
      <c r="H32" s="22">
        <v>3</v>
      </c>
      <c r="I32" s="22">
        <v>2</v>
      </c>
    </row>
    <row r="33" spans="1:9" s="22" customFormat="1">
      <c r="B33" s="19" t="s">
        <v>54</v>
      </c>
      <c r="C33" s="22">
        <v>3</v>
      </c>
      <c r="D33" s="22">
        <v>4.1500000000000004</v>
      </c>
      <c r="E33" s="22">
        <v>4.2</v>
      </c>
      <c r="F33" s="22">
        <v>2</v>
      </c>
      <c r="G33" s="22">
        <v>2</v>
      </c>
      <c r="H33" s="22">
        <v>3</v>
      </c>
      <c r="I33" s="22">
        <v>2</v>
      </c>
    </row>
    <row r="34" spans="1:9">
      <c r="B34" s="19" t="s">
        <v>71</v>
      </c>
      <c r="C34">
        <v>3</v>
      </c>
      <c r="D34">
        <v>-3.2</v>
      </c>
      <c r="F34">
        <v>2</v>
      </c>
      <c r="G34">
        <v>2</v>
      </c>
      <c r="H34">
        <v>4</v>
      </c>
      <c r="I34">
        <v>2</v>
      </c>
    </row>
    <row r="35" spans="1:9" s="22" customFormat="1">
      <c r="B35" s="19" t="s">
        <v>63</v>
      </c>
      <c r="C35" s="22">
        <v>3</v>
      </c>
      <c r="D35" s="22">
        <v>-0.8</v>
      </c>
      <c r="E35" s="22">
        <v>4.2</v>
      </c>
      <c r="F35" s="22">
        <v>2</v>
      </c>
      <c r="G35" s="22">
        <v>2</v>
      </c>
      <c r="H35" s="22">
        <v>4</v>
      </c>
      <c r="I35" s="22">
        <v>2</v>
      </c>
    </row>
    <row r="36" spans="1:9" s="22" customFormat="1">
      <c r="B36" s="19" t="s">
        <v>64</v>
      </c>
      <c r="C36" s="22">
        <v>3</v>
      </c>
      <c r="D36" s="22">
        <v>-0.8</v>
      </c>
      <c r="E36" s="22">
        <v>-4.2</v>
      </c>
      <c r="F36" s="22">
        <v>2</v>
      </c>
      <c r="G36" s="22">
        <v>2</v>
      </c>
      <c r="H36" s="22">
        <v>4</v>
      </c>
      <c r="I36" s="22">
        <v>2</v>
      </c>
    </row>
    <row r="37" spans="1:9" s="22" customFormat="1">
      <c r="B37" s="19" t="s">
        <v>65</v>
      </c>
      <c r="C37" s="22">
        <v>3</v>
      </c>
      <c r="D37" s="22">
        <v>-3.2</v>
      </c>
      <c r="E37" s="22">
        <v>4.2</v>
      </c>
      <c r="F37" s="22">
        <v>2</v>
      </c>
      <c r="G37" s="22">
        <v>2</v>
      </c>
      <c r="H37" s="22">
        <v>4</v>
      </c>
      <c r="I37" s="22">
        <v>2</v>
      </c>
    </row>
    <row r="38" spans="1:9" s="22" customFormat="1">
      <c r="B38" s="19" t="s">
        <v>66</v>
      </c>
      <c r="C38" s="22">
        <v>3</v>
      </c>
      <c r="D38" s="22">
        <v>-3.2</v>
      </c>
      <c r="E38" s="22">
        <v>-4.2</v>
      </c>
      <c r="F38" s="22">
        <v>2</v>
      </c>
      <c r="G38" s="22">
        <v>2</v>
      </c>
      <c r="H38" s="22">
        <v>4</v>
      </c>
      <c r="I38" s="22">
        <v>2</v>
      </c>
    </row>
    <row r="39" spans="1:9">
      <c r="B39" s="19" t="s">
        <v>72</v>
      </c>
      <c r="C39">
        <v>8</v>
      </c>
      <c r="D39">
        <v>-1.5</v>
      </c>
      <c r="F39">
        <v>5</v>
      </c>
      <c r="G39">
        <v>2</v>
      </c>
      <c r="H39">
        <v>14</v>
      </c>
      <c r="I39">
        <v>2</v>
      </c>
    </row>
    <row r="40" spans="1:9" s="22" customFormat="1">
      <c r="B40" s="19" t="s">
        <v>56</v>
      </c>
      <c r="C40" s="22">
        <v>8</v>
      </c>
      <c r="D40" s="22">
        <v>-3.9</v>
      </c>
      <c r="F40" s="22">
        <v>5</v>
      </c>
      <c r="G40" s="22">
        <v>2</v>
      </c>
      <c r="H40" s="22">
        <v>14</v>
      </c>
      <c r="I40" s="22">
        <v>2</v>
      </c>
    </row>
    <row r="41" spans="1:9" s="22" customFormat="1">
      <c r="A41" s="22" t="s">
        <v>55</v>
      </c>
      <c r="B41" s="19" t="s">
        <v>57</v>
      </c>
      <c r="C41" s="22">
        <v>8</v>
      </c>
      <c r="D41" s="22">
        <v>-6.3</v>
      </c>
      <c r="F41" s="22">
        <v>5</v>
      </c>
      <c r="G41" s="22">
        <v>2</v>
      </c>
      <c r="H41" s="22">
        <v>14</v>
      </c>
      <c r="I41" s="22">
        <v>2</v>
      </c>
    </row>
    <row r="42" spans="1:9">
      <c r="B42" s="19" t="s">
        <v>91</v>
      </c>
      <c r="C42">
        <v>7</v>
      </c>
      <c r="F42">
        <v>1</v>
      </c>
      <c r="G42">
        <v>2</v>
      </c>
      <c r="H42">
        <v>5</v>
      </c>
      <c r="I42">
        <v>2</v>
      </c>
    </row>
    <row r="43" spans="1:9">
      <c r="B43" s="19" t="s">
        <v>175</v>
      </c>
      <c r="C43" s="22">
        <v>7</v>
      </c>
      <c r="D43" s="22"/>
      <c r="E43" s="22"/>
      <c r="F43" s="22">
        <v>1</v>
      </c>
      <c r="G43" s="22">
        <v>1.5</v>
      </c>
      <c r="H43" s="22"/>
      <c r="I43" s="22">
        <v>1</v>
      </c>
    </row>
    <row r="44" spans="1:9">
      <c r="B44" s="19" t="s">
        <v>176</v>
      </c>
      <c r="C44" s="22">
        <v>7</v>
      </c>
      <c r="D44" s="22"/>
      <c r="E44" s="22"/>
      <c r="F44" s="22">
        <v>1</v>
      </c>
      <c r="G44" s="22">
        <v>0</v>
      </c>
      <c r="H44" s="22"/>
      <c r="I44" s="22">
        <v>1</v>
      </c>
    </row>
    <row r="45" spans="1:9">
      <c r="B45" s="19" t="s">
        <v>15</v>
      </c>
      <c r="C45">
        <v>8</v>
      </c>
      <c r="D45">
        <v>-0.5</v>
      </c>
      <c r="F45">
        <v>5</v>
      </c>
      <c r="G45">
        <v>2.4</v>
      </c>
      <c r="H45">
        <v>14</v>
      </c>
      <c r="I45">
        <v>2</v>
      </c>
    </row>
    <row r="46" spans="1:9">
      <c r="B46" s="19" t="s">
        <v>73</v>
      </c>
      <c r="C46" s="22">
        <v>7</v>
      </c>
      <c r="D46" s="22"/>
      <c r="E46" s="22"/>
      <c r="F46" s="22">
        <v>1</v>
      </c>
      <c r="G46" s="22">
        <v>1</v>
      </c>
      <c r="H46" s="22"/>
      <c r="I46" s="22">
        <v>1</v>
      </c>
    </row>
    <row r="47" spans="1:9" s="22" customFormat="1">
      <c r="B47" s="19" t="s">
        <v>51</v>
      </c>
      <c r="C47" s="22">
        <v>7</v>
      </c>
      <c r="F47" s="22">
        <v>1</v>
      </c>
      <c r="G47" s="22">
        <v>2.5</v>
      </c>
      <c r="I47" s="22">
        <v>1</v>
      </c>
    </row>
    <row r="48" spans="1:9" s="22" customFormat="1">
      <c r="B48" s="19" t="s">
        <v>52</v>
      </c>
      <c r="C48" s="22">
        <v>7</v>
      </c>
      <c r="F48" s="22">
        <v>1</v>
      </c>
      <c r="G48" s="22">
        <v>4</v>
      </c>
      <c r="I48" s="22">
        <v>1</v>
      </c>
    </row>
    <row r="49" spans="2:9">
      <c r="B49" s="19" t="s">
        <v>28</v>
      </c>
      <c r="C49">
        <v>3</v>
      </c>
      <c r="D49">
        <v>-0.65</v>
      </c>
      <c r="F49">
        <v>5</v>
      </c>
      <c r="G49">
        <v>2</v>
      </c>
      <c r="H49">
        <v>20</v>
      </c>
      <c r="I49">
        <v>2</v>
      </c>
    </row>
    <row r="50" spans="2:9">
      <c r="B50" s="19" t="s">
        <v>11</v>
      </c>
      <c r="C50">
        <v>7</v>
      </c>
      <c r="F50">
        <v>1</v>
      </c>
      <c r="G50">
        <v>2.5</v>
      </c>
      <c r="I50">
        <v>1</v>
      </c>
    </row>
    <row r="51" spans="2:9">
      <c r="B51" s="19" t="s">
        <v>177</v>
      </c>
      <c r="C51">
        <v>3</v>
      </c>
      <c r="D51">
        <v>-1.2</v>
      </c>
      <c r="E51">
        <v>-4</v>
      </c>
      <c r="F51">
        <v>2</v>
      </c>
      <c r="G51">
        <v>1</v>
      </c>
      <c r="H51">
        <v>1.5</v>
      </c>
      <c r="I51">
        <v>2</v>
      </c>
    </row>
    <row r="52" spans="2:9" s="22" customFormat="1">
      <c r="B52" s="19" t="s">
        <v>178</v>
      </c>
      <c r="C52" s="22">
        <v>3</v>
      </c>
      <c r="D52" s="22">
        <v>-1.2</v>
      </c>
      <c r="E52" s="22">
        <v>4</v>
      </c>
      <c r="F52" s="22">
        <v>2</v>
      </c>
      <c r="G52" s="22">
        <v>1</v>
      </c>
      <c r="H52" s="22">
        <v>1.5</v>
      </c>
      <c r="I52" s="22">
        <v>2</v>
      </c>
    </row>
    <row r="53" spans="2:9">
      <c r="B53" s="19" t="s">
        <v>182</v>
      </c>
      <c r="C53">
        <v>7</v>
      </c>
      <c r="F53">
        <v>1</v>
      </c>
      <c r="G53">
        <v>1.5</v>
      </c>
      <c r="I53">
        <v>1</v>
      </c>
    </row>
    <row r="54" spans="2:9">
      <c r="B54" s="19" t="s">
        <v>179</v>
      </c>
      <c r="C54" s="22">
        <v>7</v>
      </c>
      <c r="D54" s="22"/>
      <c r="E54" s="22"/>
      <c r="F54" s="22">
        <v>1</v>
      </c>
      <c r="G54" s="22">
        <v>2.5</v>
      </c>
      <c r="H54" s="22"/>
      <c r="I54" s="22">
        <v>1</v>
      </c>
    </row>
    <row r="55" spans="2:9">
      <c r="B55" s="19" t="s">
        <v>181</v>
      </c>
      <c r="C55" s="22">
        <v>7</v>
      </c>
      <c r="D55" s="22"/>
      <c r="E55" s="22"/>
      <c r="F55" s="22">
        <v>1</v>
      </c>
      <c r="G55" s="22">
        <v>1.5</v>
      </c>
      <c r="H55" s="22"/>
      <c r="I55" s="22">
        <v>1</v>
      </c>
    </row>
    <row r="56" spans="2:9">
      <c r="B56" s="19" t="s">
        <v>180</v>
      </c>
      <c r="C56" s="22">
        <v>7</v>
      </c>
      <c r="D56" s="22"/>
      <c r="E56" s="22"/>
      <c r="F56" s="22">
        <v>1</v>
      </c>
      <c r="G56" s="22">
        <v>2.5</v>
      </c>
      <c r="H56" s="22"/>
      <c r="I56" s="22">
        <v>1</v>
      </c>
    </row>
    <row r="57" spans="2:9">
      <c r="B57" s="19" t="s">
        <v>183</v>
      </c>
      <c r="C57" s="22">
        <v>7</v>
      </c>
      <c r="D57" s="22"/>
      <c r="E57" s="22"/>
      <c r="F57" s="22">
        <v>1</v>
      </c>
      <c r="G57" s="22">
        <v>2.5</v>
      </c>
      <c r="H57" s="22"/>
      <c r="I57" s="22">
        <v>1</v>
      </c>
    </row>
    <row r="58" spans="2:9">
      <c r="B58" s="19" t="s">
        <v>184</v>
      </c>
      <c r="C58" s="22">
        <v>7</v>
      </c>
      <c r="D58" s="22"/>
      <c r="E58" s="22"/>
      <c r="F58" s="22">
        <v>1</v>
      </c>
      <c r="G58" s="22">
        <v>2.5</v>
      </c>
      <c r="H58" s="22">
        <v>2.5</v>
      </c>
      <c r="I58" s="22">
        <v>2</v>
      </c>
    </row>
    <row r="59" spans="2:9">
      <c r="B59" s="19" t="s">
        <v>185</v>
      </c>
      <c r="C59" s="22">
        <v>3</v>
      </c>
      <c r="D59" s="22">
        <v>1.75</v>
      </c>
      <c r="F59">
        <v>2</v>
      </c>
      <c r="G59">
        <v>2</v>
      </c>
      <c r="H59">
        <v>3</v>
      </c>
      <c r="I59">
        <v>2</v>
      </c>
    </row>
    <row r="60" spans="2:9" s="22" customFormat="1">
      <c r="B60" s="19" t="s">
        <v>186</v>
      </c>
      <c r="C60" s="22">
        <v>3</v>
      </c>
      <c r="D60" s="22">
        <v>-3.05</v>
      </c>
      <c r="F60" s="22">
        <v>2</v>
      </c>
      <c r="G60" s="22">
        <v>2</v>
      </c>
      <c r="H60" s="22">
        <v>3</v>
      </c>
      <c r="I60" s="22">
        <v>2</v>
      </c>
    </row>
    <row r="61" spans="2:9" s="22" customFormat="1">
      <c r="B61" s="19" t="s">
        <v>187</v>
      </c>
      <c r="C61" s="22">
        <v>3</v>
      </c>
      <c r="D61" s="22">
        <v>1.75</v>
      </c>
      <c r="E61" s="22">
        <v>4.2</v>
      </c>
      <c r="F61" s="22">
        <v>2</v>
      </c>
      <c r="G61" s="22">
        <v>2</v>
      </c>
      <c r="H61" s="22">
        <v>3</v>
      </c>
      <c r="I61" s="22">
        <v>2</v>
      </c>
    </row>
    <row r="62" spans="2:9" s="22" customFormat="1">
      <c r="B62" s="19" t="s">
        <v>188</v>
      </c>
      <c r="C62" s="22">
        <v>3</v>
      </c>
      <c r="D62" s="22">
        <v>-3.05</v>
      </c>
      <c r="E62" s="22">
        <v>4.2</v>
      </c>
      <c r="F62" s="22">
        <v>2</v>
      </c>
      <c r="G62" s="22">
        <v>2</v>
      </c>
      <c r="H62" s="22">
        <v>3</v>
      </c>
      <c r="I62" s="22">
        <v>2</v>
      </c>
    </row>
    <row r="63" spans="2:9">
      <c r="B63" s="19" t="s">
        <v>189</v>
      </c>
      <c r="C63" s="22">
        <v>3</v>
      </c>
      <c r="D63" s="22">
        <v>-0.65</v>
      </c>
      <c r="E63">
        <v>4.2</v>
      </c>
      <c r="F63">
        <v>2</v>
      </c>
      <c r="G63">
        <v>2</v>
      </c>
      <c r="H63">
        <v>3</v>
      </c>
      <c r="I63">
        <v>2</v>
      </c>
    </row>
    <row r="64" spans="2:9" s="22" customFormat="1">
      <c r="B64" s="19" t="s">
        <v>190</v>
      </c>
      <c r="C64" s="22">
        <v>3</v>
      </c>
      <c r="D64" s="22">
        <v>-0.65</v>
      </c>
      <c r="E64" s="22">
        <v>-4.2</v>
      </c>
      <c r="F64" s="22">
        <v>2</v>
      </c>
      <c r="G64" s="22">
        <v>2</v>
      </c>
      <c r="H64" s="22">
        <v>3</v>
      </c>
      <c r="I64" s="22">
        <v>2</v>
      </c>
    </row>
    <row r="65" spans="1:9" s="22" customFormat="1">
      <c r="B65" s="19" t="s">
        <v>191</v>
      </c>
      <c r="C65" s="22">
        <v>3</v>
      </c>
      <c r="D65" s="22">
        <v>1.75</v>
      </c>
      <c r="F65" s="22">
        <v>2</v>
      </c>
      <c r="G65" s="22">
        <v>2</v>
      </c>
      <c r="H65" s="22">
        <v>3</v>
      </c>
      <c r="I65" s="22">
        <v>2</v>
      </c>
    </row>
    <row r="66" spans="1:9" s="22" customFormat="1">
      <c r="A66" s="22" t="s">
        <v>55</v>
      </c>
      <c r="B66" s="19" t="s">
        <v>192</v>
      </c>
      <c r="C66" s="22">
        <v>3</v>
      </c>
      <c r="D66" s="22">
        <v>1.75</v>
      </c>
      <c r="E66" s="22">
        <v>4.2</v>
      </c>
      <c r="F66" s="22">
        <v>2</v>
      </c>
      <c r="G66" s="22">
        <v>2</v>
      </c>
      <c r="H66" s="22">
        <v>3</v>
      </c>
      <c r="I66" s="22">
        <v>2</v>
      </c>
    </row>
    <row r="67" spans="1:9" s="22" customFormat="1">
      <c r="B67" s="19" t="s">
        <v>193</v>
      </c>
      <c r="C67" s="22">
        <v>3</v>
      </c>
      <c r="D67" s="22">
        <v>-3.6</v>
      </c>
      <c r="F67" s="22">
        <v>2</v>
      </c>
      <c r="G67" s="22">
        <v>2</v>
      </c>
      <c r="H67" s="22">
        <v>3</v>
      </c>
      <c r="I67" s="22">
        <v>2</v>
      </c>
    </row>
    <row r="68" spans="1:9" s="22" customFormat="1">
      <c r="B68" s="19" t="s">
        <v>194</v>
      </c>
      <c r="C68" s="22">
        <v>3</v>
      </c>
      <c r="D68" s="22">
        <v>-3.6</v>
      </c>
      <c r="E68" s="22">
        <v>-4.2</v>
      </c>
      <c r="F68" s="22">
        <v>2</v>
      </c>
      <c r="G68" s="22">
        <v>2</v>
      </c>
      <c r="H68" s="22">
        <v>3</v>
      </c>
      <c r="I68" s="22">
        <v>2</v>
      </c>
    </row>
    <row r="69" spans="1:9">
      <c r="B69" s="19" t="s">
        <v>195</v>
      </c>
      <c r="C69" s="22"/>
      <c r="D69" s="22"/>
    </row>
    <row r="70" spans="1:9">
      <c r="B70" s="19" t="s">
        <v>196</v>
      </c>
      <c r="C70" s="22">
        <v>7</v>
      </c>
      <c r="D70" s="22"/>
      <c r="G70">
        <v>2</v>
      </c>
      <c r="I70">
        <v>1</v>
      </c>
    </row>
    <row r="71" spans="1:9">
      <c r="B71" s="19" t="s">
        <v>197</v>
      </c>
      <c r="C71" s="22">
        <v>7</v>
      </c>
      <c r="D71" s="22"/>
      <c r="G71">
        <v>1</v>
      </c>
      <c r="I71">
        <v>1</v>
      </c>
    </row>
    <row r="72" spans="1:9" s="22" customFormat="1">
      <c r="B72" s="19" t="s">
        <v>198</v>
      </c>
      <c r="C72" s="22">
        <v>7</v>
      </c>
      <c r="G72" s="22">
        <v>1</v>
      </c>
      <c r="I72" s="22">
        <v>1</v>
      </c>
    </row>
    <row r="73" spans="1:9" s="22" customFormat="1">
      <c r="B73" s="19" t="s">
        <v>199</v>
      </c>
      <c r="C73" s="22">
        <v>7</v>
      </c>
      <c r="G73" s="22">
        <v>1</v>
      </c>
      <c r="I73" s="22">
        <v>1</v>
      </c>
    </row>
    <row r="74" spans="1:9" s="22" customFormat="1">
      <c r="B74" s="19" t="s">
        <v>200</v>
      </c>
      <c r="C74" s="22">
        <v>7</v>
      </c>
      <c r="G74" s="22">
        <v>1</v>
      </c>
      <c r="I74" s="22">
        <v>1</v>
      </c>
    </row>
    <row r="75" spans="1:9" s="22" customFormat="1">
      <c r="B75" s="19" t="s">
        <v>201</v>
      </c>
      <c r="C75" s="22">
        <v>7</v>
      </c>
      <c r="G75" s="22">
        <v>1</v>
      </c>
      <c r="I75" s="22">
        <v>1</v>
      </c>
    </row>
    <row r="76" spans="1:9" s="22" customFormat="1">
      <c r="B76" s="19" t="s">
        <v>202</v>
      </c>
      <c r="C76" s="22">
        <v>7</v>
      </c>
      <c r="G76" s="22">
        <v>1</v>
      </c>
      <c r="I76" s="22">
        <v>1</v>
      </c>
    </row>
    <row r="77" spans="1:9" s="22" customFormat="1">
      <c r="B77" s="19" t="s">
        <v>203</v>
      </c>
      <c r="C77" s="22">
        <v>7</v>
      </c>
      <c r="G77" s="22">
        <v>1</v>
      </c>
      <c r="I77" s="22">
        <v>1</v>
      </c>
    </row>
    <row r="78" spans="1:9" s="22" customFormat="1">
      <c r="B78" s="19" t="s">
        <v>204</v>
      </c>
      <c r="C78" s="22">
        <v>3</v>
      </c>
      <c r="D78" s="22">
        <v>7.5</v>
      </c>
      <c r="F78" s="22">
        <v>2</v>
      </c>
      <c r="G78" s="22">
        <v>12</v>
      </c>
      <c r="H78" s="22">
        <v>3</v>
      </c>
      <c r="I78" s="22">
        <v>2</v>
      </c>
    </row>
    <row r="79" spans="1:9">
      <c r="B79" s="19" t="s">
        <v>0</v>
      </c>
    </row>
    <row r="80" spans="1:9">
      <c r="B80" s="19" t="s">
        <v>142</v>
      </c>
    </row>
    <row r="81" spans="2:2">
      <c r="B81" s="19" t="s">
        <v>141</v>
      </c>
    </row>
    <row r="82" spans="2:2">
      <c r="B82" s="19" t="s">
        <v>143</v>
      </c>
    </row>
    <row r="83" spans="2:2">
      <c r="B83" s="19" t="s">
        <v>139</v>
      </c>
    </row>
    <row r="84" spans="2:2">
      <c r="B84" s="19" t="s">
        <v>146</v>
      </c>
    </row>
    <row r="85" spans="2:2">
      <c r="B85" s="19" t="s">
        <v>205</v>
      </c>
    </row>
    <row r="86" spans="2:2">
      <c r="B86" s="19" t="s">
        <v>206</v>
      </c>
    </row>
    <row r="87" spans="2:2">
      <c r="B87" s="19" t="s">
        <v>136</v>
      </c>
    </row>
    <row r="88" spans="2:2">
      <c r="B88" s="19" t="s">
        <v>145</v>
      </c>
    </row>
    <row r="89" spans="2:2">
      <c r="B89" s="19" t="s">
        <v>207</v>
      </c>
    </row>
    <row r="90" spans="2:2">
      <c r="B90" s="19" t="s">
        <v>208</v>
      </c>
    </row>
    <row r="91" spans="2:2">
      <c r="B91" s="19" t="s">
        <v>169</v>
      </c>
    </row>
    <row r="92" spans="2:2">
      <c r="B92" s="19" t="s">
        <v>170</v>
      </c>
    </row>
    <row r="93" spans="2:2">
      <c r="B93" s="19" t="s">
        <v>168</v>
      </c>
    </row>
    <row r="94" spans="2:2">
      <c r="B94" s="19" t="s">
        <v>209</v>
      </c>
    </row>
    <row r="95" spans="2:2">
      <c r="B95" s="19" t="s">
        <v>210</v>
      </c>
    </row>
    <row r="96" spans="2:2">
      <c r="B96" s="19" t="s">
        <v>211</v>
      </c>
    </row>
    <row r="97" spans="2:2">
      <c r="B97" s="19" t="s">
        <v>138</v>
      </c>
    </row>
    <row r="98" spans="2:2">
      <c r="B98" s="19" t="s">
        <v>212</v>
      </c>
    </row>
    <row r="99" spans="2:2">
      <c r="B99" s="19" t="s">
        <v>213</v>
      </c>
    </row>
    <row r="100" spans="2:2">
      <c r="B100" s="19" t="s">
        <v>171</v>
      </c>
    </row>
    <row r="101" spans="2:2">
      <c r="B101" s="19" t="s">
        <v>137</v>
      </c>
    </row>
    <row r="102" spans="2:2">
      <c r="B102" s="19" t="s">
        <v>161</v>
      </c>
    </row>
    <row r="103" spans="2:2">
      <c r="B103" s="19" t="s">
        <v>157</v>
      </c>
    </row>
    <row r="104" spans="2:2">
      <c r="B104" s="19" t="s">
        <v>159</v>
      </c>
    </row>
    <row r="105" spans="2:2">
      <c r="B105" s="19" t="s">
        <v>214</v>
      </c>
    </row>
    <row r="106" spans="2:2">
      <c r="B106" s="19" t="s">
        <v>158</v>
      </c>
    </row>
    <row r="107" spans="2:2">
      <c r="B107" s="19" t="s">
        <v>239</v>
      </c>
    </row>
  </sheetData>
  <protectedRanges>
    <protectedRange sqref="B106 B2:B54" name="범위5_1_1"/>
  </protectedRange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hare</vt:lpstr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Randomqwerty</cp:lastModifiedBy>
  <dcterms:created xsi:type="dcterms:W3CDTF">2018-10-25T09:25:46Z</dcterms:created>
  <dcterms:modified xsi:type="dcterms:W3CDTF">2023-06-23T21:11:01Z</dcterms:modified>
</cp:coreProperties>
</file>